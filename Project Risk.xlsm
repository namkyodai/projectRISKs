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12459\Risk Management\"/>
    </mc:Choice>
  </mc:AlternateContent>
  <bookViews>
    <workbookView xWindow="480" yWindow="72" windowWidth="22992" windowHeight="13860"/>
  </bookViews>
  <sheets>
    <sheet name="Riskprofile" sheetId="2" r:id="rId1"/>
    <sheet name="Riskregister" sheetId="1" r:id="rId2"/>
    <sheet name="Definition" sheetId="3" r:id="rId3"/>
    <sheet name="DataFields" sheetId="4" r:id="rId4"/>
  </sheets>
  <externalReferences>
    <externalReference r:id="rId5"/>
    <externalReference r:id="rId6"/>
    <externalReference r:id="rId7"/>
  </externalReferences>
  <definedNames>
    <definedName name="_xlnm.Print_Area" localSheetId="2">Definition!$A$1:$I$35</definedName>
  </definedNames>
  <calcPr calcId="152511"/>
</workbook>
</file>

<file path=xl/calcChain.xml><?xml version="1.0" encoding="utf-8"?>
<calcChain xmlns="http://schemas.openxmlformats.org/spreadsheetml/2006/main">
  <c r="I7" i="2" l="1"/>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6" i="2"/>
  <c r="N80" i="1" l="1"/>
  <c r="AJ7" i="2" l="1"/>
  <c r="AJ8" i="2"/>
  <c r="AJ9" i="2"/>
  <c r="AJ10" i="2"/>
  <c r="AJ11" i="2"/>
  <c r="AJ12" i="2"/>
  <c r="AJ13"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6" i="2"/>
  <c r="AI61" i="2" l="1"/>
  <c r="AI62" i="2"/>
  <c r="AI63" i="2"/>
  <c r="AI64" i="2"/>
  <c r="AI65" i="2"/>
  <c r="AI66" i="2"/>
  <c r="AI67" i="2"/>
  <c r="AI68" i="2"/>
  <c r="AI69" i="2"/>
  <c r="AI70" i="2"/>
  <c r="AI71" i="2"/>
  <c r="AI72" i="2"/>
  <c r="AI73" i="2"/>
  <c r="AI74" i="2"/>
  <c r="AI75" i="2"/>
  <c r="AI76" i="2"/>
  <c r="AI77" i="2"/>
  <c r="AI78" i="2"/>
  <c r="AI79" i="2"/>
  <c r="AI80" i="2"/>
  <c r="AI81" i="2"/>
  <c r="AI82" i="2"/>
  <c r="AI83" i="2"/>
  <c r="AI84" i="2"/>
  <c r="AI85" i="2"/>
  <c r="AI86" i="2"/>
  <c r="AI87" i="2"/>
  <c r="AI88" i="2"/>
  <c r="AI89" i="2"/>
  <c r="AI90" i="2"/>
  <c r="AI91" i="2"/>
  <c r="AI92" i="2"/>
  <c r="AI93" i="2"/>
  <c r="AI94" i="2"/>
  <c r="AI95" i="2"/>
  <c r="AI96" i="2"/>
  <c r="AI97" i="2"/>
  <c r="AI98" i="2"/>
  <c r="AI99" i="2"/>
  <c r="AI100" i="2"/>
  <c r="AI101" i="2"/>
  <c r="AI102" i="2"/>
  <c r="AI103" i="2"/>
  <c r="AI104" i="2"/>
  <c r="AI105" i="2"/>
  <c r="AI106" i="2"/>
  <c r="AI107" i="2"/>
  <c r="AI108" i="2"/>
  <c r="AI109" i="2"/>
  <c r="AI110" i="2"/>
  <c r="AI111" i="2"/>
  <c r="AI112" i="2"/>
  <c r="AI113" i="2"/>
  <c r="AI114" i="2"/>
  <c r="AI115" i="2"/>
  <c r="AI116" i="2"/>
  <c r="AI117" i="2"/>
  <c r="AI118" i="2"/>
  <c r="AI119" i="2"/>
  <c r="AI120" i="2"/>
  <c r="AI121" i="2"/>
  <c r="AI122" i="2"/>
  <c r="AI8" i="2"/>
  <c r="AI9" i="2"/>
  <c r="AI10" i="2"/>
  <c r="AI11" i="2"/>
  <c r="AI12" i="2"/>
  <c r="AI13" i="2"/>
  <c r="AI14" i="2"/>
  <c r="AI15" i="2"/>
  <c r="AI16" i="2"/>
  <c r="AI17" i="2"/>
  <c r="AI18" i="2"/>
  <c r="AI19" i="2"/>
  <c r="AI20" i="2"/>
  <c r="AI21" i="2"/>
  <c r="AI22" i="2"/>
  <c r="AI23" i="2"/>
  <c r="AI24" i="2"/>
  <c r="AI25" i="2"/>
  <c r="AI26" i="2"/>
  <c r="AI27" i="2"/>
  <c r="AI28" i="2"/>
  <c r="AI29" i="2"/>
  <c r="AI30" i="2"/>
  <c r="AI31" i="2"/>
  <c r="AI32" i="2"/>
  <c r="AI33" i="2"/>
  <c r="AI34" i="2"/>
  <c r="AI35" i="2"/>
  <c r="AI36" i="2"/>
  <c r="AI37" i="2"/>
  <c r="AI38" i="2"/>
  <c r="AI39" i="2"/>
  <c r="AI40" i="2"/>
  <c r="AI41" i="2"/>
  <c r="AI42" i="2"/>
  <c r="AI43" i="2"/>
  <c r="AI44" i="2"/>
  <c r="AI45" i="2"/>
  <c r="AI46" i="2"/>
  <c r="AI47" i="2"/>
  <c r="AI48" i="2"/>
  <c r="AI49" i="2"/>
  <c r="AI50" i="2"/>
  <c r="AI51" i="2"/>
  <c r="AI52" i="2"/>
  <c r="AI53" i="2"/>
  <c r="AI54" i="2"/>
  <c r="AI55" i="2"/>
  <c r="AI56" i="2"/>
  <c r="AI57" i="2"/>
  <c r="AI58" i="2"/>
  <c r="AI59" i="2"/>
  <c r="AI60" i="2"/>
  <c r="F61" i="2"/>
  <c r="G61" i="2"/>
  <c r="H61" i="2"/>
  <c r="F62" i="2"/>
  <c r="G62" i="2"/>
  <c r="H62" i="2"/>
  <c r="F63" i="2"/>
  <c r="G63" i="2"/>
  <c r="H63" i="2"/>
  <c r="F64" i="2"/>
  <c r="G64" i="2"/>
  <c r="H64" i="2"/>
  <c r="F65" i="2"/>
  <c r="G65" i="2"/>
  <c r="H65" i="2"/>
  <c r="F66" i="2"/>
  <c r="G66" i="2"/>
  <c r="H66" i="2"/>
  <c r="F67" i="2"/>
  <c r="G67" i="2"/>
  <c r="H67" i="2"/>
  <c r="F68" i="2"/>
  <c r="G68" i="2"/>
  <c r="H68" i="2"/>
  <c r="F69" i="2"/>
  <c r="G69" i="2"/>
  <c r="H69" i="2"/>
  <c r="F70" i="2"/>
  <c r="G70" i="2"/>
  <c r="H70" i="2"/>
  <c r="F71" i="2"/>
  <c r="G71" i="2"/>
  <c r="H71" i="2"/>
  <c r="F72" i="2"/>
  <c r="G72" i="2"/>
  <c r="H72" i="2"/>
  <c r="F73" i="2"/>
  <c r="G73" i="2"/>
  <c r="H73" i="2"/>
  <c r="F74" i="2"/>
  <c r="G74" i="2"/>
  <c r="H74" i="2"/>
  <c r="F75" i="2"/>
  <c r="G75" i="2"/>
  <c r="H75" i="2"/>
  <c r="F76" i="2"/>
  <c r="G76" i="2"/>
  <c r="H76" i="2"/>
  <c r="F77" i="2"/>
  <c r="G77" i="2"/>
  <c r="H77" i="2"/>
  <c r="F78" i="2"/>
  <c r="G78" i="2"/>
  <c r="H78" i="2"/>
  <c r="F79" i="2"/>
  <c r="G79" i="2"/>
  <c r="H79" i="2"/>
  <c r="F80" i="2"/>
  <c r="G80" i="2"/>
  <c r="H80" i="2"/>
  <c r="F81" i="2"/>
  <c r="G81" i="2"/>
  <c r="H81" i="2"/>
  <c r="F82" i="2"/>
  <c r="G82" i="2"/>
  <c r="H82" i="2"/>
  <c r="F83" i="2"/>
  <c r="G83" i="2"/>
  <c r="H83" i="2"/>
  <c r="F84" i="2"/>
  <c r="G84" i="2"/>
  <c r="H84" i="2"/>
  <c r="F85" i="2"/>
  <c r="G85" i="2"/>
  <c r="H85" i="2"/>
  <c r="F86" i="2"/>
  <c r="G86" i="2"/>
  <c r="H86" i="2"/>
  <c r="F87" i="2"/>
  <c r="G87" i="2"/>
  <c r="H87" i="2"/>
  <c r="F88" i="2"/>
  <c r="G88" i="2"/>
  <c r="H88" i="2"/>
  <c r="F89" i="2"/>
  <c r="G89" i="2"/>
  <c r="H89" i="2"/>
  <c r="F90" i="2"/>
  <c r="G90" i="2"/>
  <c r="H90" i="2"/>
  <c r="F91" i="2"/>
  <c r="G91" i="2"/>
  <c r="H91" i="2"/>
  <c r="F92" i="2"/>
  <c r="G92" i="2"/>
  <c r="H92" i="2"/>
  <c r="F93" i="2"/>
  <c r="G93" i="2"/>
  <c r="H93" i="2"/>
  <c r="F94" i="2"/>
  <c r="G94" i="2"/>
  <c r="H94" i="2"/>
  <c r="F95" i="2"/>
  <c r="G95" i="2"/>
  <c r="H95" i="2"/>
  <c r="F96" i="2"/>
  <c r="G96" i="2"/>
  <c r="H96" i="2"/>
  <c r="F97" i="2"/>
  <c r="G97" i="2"/>
  <c r="H97" i="2"/>
  <c r="F98" i="2"/>
  <c r="G98" i="2"/>
  <c r="H98" i="2"/>
  <c r="F99" i="2"/>
  <c r="G99" i="2"/>
  <c r="H99" i="2"/>
  <c r="F100" i="2"/>
  <c r="G100" i="2"/>
  <c r="H100" i="2"/>
  <c r="F101" i="2"/>
  <c r="G101" i="2"/>
  <c r="H101" i="2"/>
  <c r="F102" i="2"/>
  <c r="G102" i="2"/>
  <c r="H102" i="2"/>
  <c r="F103" i="2"/>
  <c r="G103" i="2"/>
  <c r="H103" i="2"/>
  <c r="F104" i="2"/>
  <c r="G104" i="2"/>
  <c r="H104" i="2"/>
  <c r="F105" i="2"/>
  <c r="G105" i="2"/>
  <c r="H105" i="2"/>
  <c r="F106" i="2"/>
  <c r="G106" i="2"/>
  <c r="H106" i="2"/>
  <c r="F107" i="2"/>
  <c r="G107" i="2"/>
  <c r="H107" i="2"/>
  <c r="F108" i="2"/>
  <c r="G108" i="2"/>
  <c r="H108" i="2"/>
  <c r="F109" i="2"/>
  <c r="G109" i="2"/>
  <c r="H109" i="2"/>
  <c r="F110" i="2"/>
  <c r="G110" i="2"/>
  <c r="H110" i="2"/>
  <c r="F111" i="2"/>
  <c r="G111" i="2"/>
  <c r="H111" i="2"/>
  <c r="F112" i="2"/>
  <c r="G112" i="2"/>
  <c r="H112" i="2"/>
  <c r="F113" i="2"/>
  <c r="G113" i="2"/>
  <c r="H113" i="2"/>
  <c r="F114" i="2"/>
  <c r="G114" i="2"/>
  <c r="H114" i="2"/>
  <c r="F115" i="2"/>
  <c r="G115" i="2"/>
  <c r="H115" i="2"/>
  <c r="F116" i="2"/>
  <c r="G116" i="2"/>
  <c r="H116" i="2"/>
  <c r="F117" i="2"/>
  <c r="G117" i="2"/>
  <c r="H117" i="2"/>
  <c r="F118" i="2"/>
  <c r="G118" i="2"/>
  <c r="H118" i="2"/>
  <c r="F119" i="2"/>
  <c r="G119" i="2"/>
  <c r="H119" i="2"/>
  <c r="F120" i="2"/>
  <c r="G120" i="2"/>
  <c r="H120" i="2"/>
  <c r="F121" i="2"/>
  <c r="G121" i="2"/>
  <c r="H121" i="2"/>
  <c r="F122" i="2"/>
  <c r="G122" i="2"/>
  <c r="H122"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B8" i="2"/>
  <c r="B9" i="2"/>
  <c r="B10" i="2"/>
  <c r="B11" i="2"/>
  <c r="B12" i="2"/>
  <c r="B13" i="2"/>
  <c r="B14" i="2"/>
  <c r="B15" i="2"/>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6" i="2"/>
  <c r="B97" i="2"/>
  <c r="B98" i="2"/>
  <c r="B99" i="2"/>
  <c r="B100" i="2"/>
  <c r="B101" i="2"/>
  <c r="B102" i="2"/>
  <c r="B103" i="2"/>
  <c r="B104" i="2"/>
  <c r="B105" i="2"/>
  <c r="B106" i="2"/>
  <c r="B107" i="2"/>
  <c r="B108" i="2"/>
  <c r="B109" i="2"/>
  <c r="B110" i="2"/>
  <c r="B111" i="2"/>
  <c r="B112" i="2"/>
  <c r="B113" i="2"/>
  <c r="B114" i="2"/>
  <c r="B115" i="2"/>
  <c r="B116" i="2"/>
  <c r="B117" i="2"/>
  <c r="B118" i="2"/>
  <c r="B119" i="2"/>
  <c r="B120" i="2"/>
  <c r="B121" i="2"/>
  <c r="B122"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E7" i="2"/>
  <c r="E6" i="2"/>
  <c r="F7" i="2" l="1"/>
  <c r="G7" i="2"/>
  <c r="H7" i="2"/>
  <c r="H6" i="2"/>
  <c r="G6" i="2"/>
  <c r="F6" i="2"/>
  <c r="AI7" i="2" l="1"/>
  <c r="AI6" i="2"/>
  <c r="A7" i="2"/>
  <c r="B7" i="2"/>
  <c r="C7" i="2"/>
  <c r="D7" i="2"/>
  <c r="B6" i="2"/>
  <c r="C6" i="2"/>
  <c r="D6" i="2"/>
  <c r="E4" i="2" l="1"/>
  <c r="D4" i="2"/>
  <c r="C4" i="2"/>
  <c r="B4" i="2"/>
  <c r="A6" i="2"/>
  <c r="D26" i="3" l="1"/>
  <c r="C26" i="3"/>
  <c r="H9" i="3"/>
  <c r="G9" i="3"/>
  <c r="F9" i="3"/>
  <c r="E9" i="3"/>
  <c r="D9" i="3"/>
  <c r="H8" i="3"/>
  <c r="G8" i="3"/>
  <c r="F8" i="3"/>
  <c r="E8" i="3"/>
  <c r="D8" i="3"/>
  <c r="B11" i="3"/>
  <c r="C11" i="3"/>
  <c r="B12" i="3"/>
  <c r="C12" i="3"/>
  <c r="B13" i="3"/>
  <c r="C13" i="3"/>
  <c r="B14" i="3"/>
  <c r="C14" i="3"/>
  <c r="C10" i="3"/>
  <c r="B10" i="3"/>
</calcChain>
</file>

<file path=xl/sharedStrings.xml><?xml version="1.0" encoding="utf-8"?>
<sst xmlns="http://schemas.openxmlformats.org/spreadsheetml/2006/main" count="1039" uniqueCount="510">
  <si>
    <t>Matrix of Risk</t>
  </si>
  <si>
    <t>Likelihood</t>
  </si>
  <si>
    <t>Almost certain</t>
  </si>
  <si>
    <t>Likely</t>
  </si>
  <si>
    <t>Possible</t>
  </si>
  <si>
    <t>Unlikely</t>
  </si>
  <si>
    <t>Very unlikely</t>
  </si>
  <si>
    <t>Consequence</t>
  </si>
  <si>
    <t>Minor</t>
  </si>
  <si>
    <t>Major</t>
  </si>
  <si>
    <t>Severe</t>
  </si>
  <si>
    <t>Critical</t>
  </si>
  <si>
    <t>Catastrophic</t>
  </si>
  <si>
    <t>Likihood definition</t>
  </si>
  <si>
    <t>Scale</t>
  </si>
  <si>
    <t>Definition</t>
  </si>
  <si>
    <t>Almost certain to occur</t>
  </si>
  <si>
    <t>Likely to occur</t>
  </si>
  <si>
    <t>Possible sometime during the project</t>
  </si>
  <si>
    <t>Unlikely to occur</t>
  </si>
  <si>
    <t>Very unlikely, it can be assumed that it may not be experienced</t>
  </si>
  <si>
    <t>Could result in fatality, irrecoverable financial loss, project shutdown</t>
  </si>
  <si>
    <t>Could result in disability, great financial loss, serious project consequences to time and budget exceeding 2 months</t>
  </si>
  <si>
    <t>Could result in permanent dissability, major financial loss, severe project consequences to time (delays greater than 2 weeks up to 2 months) losses up to XXX million Peso</t>
  </si>
  <si>
    <t>Could result in injury or illness resulting in one or more lost work days, financial loss to XXX million Peso, delays up to 2 weeks</t>
  </si>
  <si>
    <t>Could result in injury or illness and not resulting in a lost work day. Small variation, delay of 1 day or less</t>
  </si>
  <si>
    <t>Ref</t>
  </si>
  <si>
    <t>Team</t>
  </si>
  <si>
    <t>Risk Category</t>
  </si>
  <si>
    <t>Brief descriptor</t>
  </si>
  <si>
    <t>Hazards/Threads</t>
  </si>
  <si>
    <t>Potential Consequence</t>
  </si>
  <si>
    <t>Unmitigated</t>
  </si>
  <si>
    <t>L</t>
  </si>
  <si>
    <t>C</t>
  </si>
  <si>
    <t>Current Risk reduction measurement</t>
  </si>
  <si>
    <t>Current</t>
  </si>
  <si>
    <t>Prepared risk reduction measurement</t>
  </si>
  <si>
    <t>Mitigated</t>
  </si>
  <si>
    <t>Action by</t>
  </si>
  <si>
    <t>Action status</t>
  </si>
  <si>
    <t>Definition of Likelihood</t>
  </si>
  <si>
    <t>Definition of Consequences</t>
  </si>
  <si>
    <r>
      <rPr>
        <b/>
        <u/>
        <sz val="11"/>
        <color theme="1"/>
        <rFont val="Calibri"/>
        <family val="2"/>
        <scheme val="minor"/>
      </rPr>
      <t>Note:</t>
    </r>
    <r>
      <rPr>
        <sz val="11"/>
        <color theme="1"/>
        <rFont val="Calibri"/>
        <family val="2"/>
        <scheme val="minor"/>
      </rPr>
      <t xml:space="preserve"> Users can change the definitions of likelihood and consequence to suit the targeted project</t>
    </r>
  </si>
  <si>
    <t xml:space="preserve">Risk Category </t>
  </si>
  <si>
    <t xml:space="preserve">Team </t>
  </si>
  <si>
    <t xml:space="preserve">Chair </t>
  </si>
  <si>
    <t>Approvals</t>
  </si>
  <si>
    <t>A</t>
  </si>
  <si>
    <t>Planning , scoping</t>
  </si>
  <si>
    <t>Stakeholders</t>
  </si>
  <si>
    <t xml:space="preserve">Commissioning </t>
  </si>
  <si>
    <t>B</t>
  </si>
  <si>
    <t>Detailed Design</t>
  </si>
  <si>
    <t>Construction</t>
  </si>
  <si>
    <t>Procurement</t>
  </si>
  <si>
    <t>Delivery</t>
  </si>
  <si>
    <t>D</t>
  </si>
  <si>
    <t xml:space="preserve">Environment </t>
  </si>
  <si>
    <t>No.</t>
  </si>
  <si>
    <t>XXX</t>
  </si>
  <si>
    <t>YYY</t>
  </si>
  <si>
    <t>ZZZ</t>
  </si>
  <si>
    <t>WWW</t>
  </si>
  <si>
    <t>Action time</t>
  </si>
  <si>
    <t>Commenced</t>
  </si>
  <si>
    <t>Not commenced</t>
  </si>
  <si>
    <t>On going</t>
  </si>
  <si>
    <t>(days)</t>
  </si>
  <si>
    <t>Risk</t>
  </si>
  <si>
    <t>Last month</t>
  </si>
  <si>
    <t>RISKs</t>
  </si>
  <si>
    <t>Champion</t>
  </si>
  <si>
    <t>Graphical Representation of RISKs</t>
  </si>
  <si>
    <t>Ongoing</t>
  </si>
  <si>
    <t>Variability in exchange rates for overseas supplied items (pumps, pipes, valves etc)</t>
  </si>
  <si>
    <t>Major Safety Incident</t>
  </si>
  <si>
    <t>Project delays whilst issues are resolved, possible time and cost associated with remedial measures</t>
  </si>
  <si>
    <t>Interface with distribution pipeline</t>
  </si>
  <si>
    <t>Construction delays due to resolving issues. Possible re-design, possible last minute procurement necessary.</t>
  </si>
  <si>
    <t>Resulting in - lost opportunity and / or mediocre solutions</t>
  </si>
  <si>
    <t>Resulting in - Re-work to rectify faults. Loss of image for MW and its long term strategy</t>
  </si>
  <si>
    <t>Shortage of materials, long delivery times, low quality of delivered materials, use of older cheaper technology</t>
  </si>
  <si>
    <t>Resulting in - Less than optimal material usage. Loss of system performance, potential for leaks</t>
  </si>
  <si>
    <t xml:space="preserve">Fire on construction site causes damage to materials, equipment and/or plant </t>
  </si>
  <si>
    <t>Resulting in - replacement and site recovery costs, possible fines. Costs to implement further preventative measures</t>
  </si>
  <si>
    <t xml:space="preserve">Lack of resources for project delays work </t>
  </si>
  <si>
    <t>Poor workmanship – rework – disagreement on acceptable quality</t>
  </si>
  <si>
    <t xml:space="preserve">Unauthorised personnel speak to media and provide incorrect messages causing confusion, adversely impacting project </t>
  </si>
  <si>
    <t>Resulting in - slow working and approvals, delays in programme implementation</t>
  </si>
  <si>
    <t>Working hours for construction limited as outcome of community &amp; business consultation</t>
  </si>
  <si>
    <t>Excessive reinstatement demands required by land or property owners.</t>
  </si>
  <si>
    <t>Resulting in - use of local or Main Road specifications, extended timeframe for completion, and additional work to appease different stakeholders.</t>
  </si>
  <si>
    <t>RISK PROFILE</t>
  </si>
  <si>
    <t>Difficulty in application for the Building Permit at LGU</t>
  </si>
  <si>
    <t>Resulting in - project delay</t>
  </si>
  <si>
    <t>Coordinate with the MWSS and PMD ROW Group</t>
  </si>
  <si>
    <t>No building permit to be issued</t>
  </si>
  <si>
    <t>Approval for the cutting/balling of trees (if applicable)</t>
  </si>
  <si>
    <t>Government opposes vegetation clearance or other environmental issues.</t>
  </si>
  <si>
    <t>Difficulty obtaining ROW access for transportation of equipment, construction materials, etc in nearby communities</t>
  </si>
  <si>
    <t>Difficulty obtaining approval for the schedule of water interruption from Water Production (LP1) and Water Network</t>
  </si>
  <si>
    <t>Additional approvals required i.e. detailed design work, process, etc</t>
  </si>
  <si>
    <t>Approval to MWSS Regulatory Office and Maynilad CorpCom during water interruption which excedes the normal duration of interruption of 3 hours</t>
  </si>
  <si>
    <t>Delay in approval of work activity from the Construction Team due to dependies of approval of working drawings, work methodology, etc from PMD Engineering for the Building Permit</t>
  </si>
  <si>
    <t>Non compliance of contractor to safety requirements of Maynilad</t>
  </si>
  <si>
    <t>Delay in approval of project schedule and work methodology from PMD and Water Production</t>
  </si>
  <si>
    <t>Resulting in - project delay, change in design</t>
  </si>
  <si>
    <t>Resulting in - Re-work, possible environmental impacts (for supply &amp; user), and prosecutions. Additional workscope for government consultation. New work chains to rectify the problems.</t>
  </si>
  <si>
    <t>Resulting in - project delay, change in schedule (prioritization)</t>
  </si>
  <si>
    <t>Resulting in - project delay, re-work</t>
  </si>
  <si>
    <t>Early coordination with the La Mesa watershed council</t>
  </si>
  <si>
    <t>Not yet defined</t>
  </si>
  <si>
    <t>Early coordination to Water Network by Water Production Team</t>
  </si>
  <si>
    <t>Early coordination to MWSS Regulatory Office and Maynilad CorpCom by Water Production Team</t>
  </si>
  <si>
    <t>Provide Safety Program and Briefing during pre-construction meeting. Ensure approval of the Safety Plan to DOLE</t>
  </si>
  <si>
    <t>Additional workscope for government consultation. New work chains to rectify the problems.</t>
  </si>
  <si>
    <t>Ensure ROW access for transportation of equipment, construction materials, etc in nearby communities</t>
  </si>
  <si>
    <t>Ensure early coordination to Water Network by Water Production Team</t>
  </si>
  <si>
    <t>Ensure that additional approval do not take too much time, revise procedure on that if possible</t>
  </si>
  <si>
    <t>Ensure early coordination to MWSS Regulatory Office and Maynilad CorpCom by Water Production Team</t>
  </si>
  <si>
    <t>Ensure that approval of work activity from the Construction Team due to dependies of approval of working drawings, work methodology, etc from PMD Engineering for the Building Permit remains limited</t>
  </si>
  <si>
    <t>Ensure that delay in approval of project schedule and work methodology from PMD and Water Production is minimised by clear instructions</t>
  </si>
  <si>
    <t>Planning, scoping</t>
  </si>
  <si>
    <t xml:space="preserve">No coordination done with the LP1 regarding the reduction of the plant production </t>
  </si>
  <si>
    <t>Resulting in - reduction of supply from Bagbag Reservoir</t>
  </si>
  <si>
    <t>Ensure coordination  with the LP1 regarding the reduction of the plant production and simultataneous acties on both plants</t>
  </si>
  <si>
    <t>No spare equipment are available</t>
  </si>
  <si>
    <t>Resulting in - re-work and project delay</t>
  </si>
  <si>
    <t>Ensure that sufficient spare equipment is available, certainly for the essential equipment that can cause reduction in water production</t>
  </si>
  <si>
    <t>Difficulty in obtaining the water interruption schedule from Water Network</t>
  </si>
  <si>
    <t>Resulting in - project delay and change of schedule</t>
  </si>
  <si>
    <t>Ensure that difficulty in obtaining the water interruption schedule from Water Network by using spares and backup</t>
  </si>
  <si>
    <t>Difficulty in providing accurate as-built drawings</t>
  </si>
  <si>
    <t>Ensure as-built drawings are available for the contractor</t>
  </si>
  <si>
    <t>Delay in providing data from the existing treatment plant (i.e. turbidity, production, water quality, list and location of equipment, etc.)</t>
  </si>
  <si>
    <t xml:space="preserve">Scope provided during preparation of bidding documents are not complete and too general </t>
  </si>
  <si>
    <t>Resulting in - rework, change in schedule and possible variation order</t>
  </si>
  <si>
    <t>Resulting in - rework, change and conflicting in schedule and possible variation order</t>
  </si>
  <si>
    <t>Ensure scopes of different projects are communicated in order to avoid conflicts</t>
  </si>
  <si>
    <t>Proper scheduling of procurement for the equipment</t>
  </si>
  <si>
    <t>Ensure proper scheduling of procurement for the equipment</t>
  </si>
  <si>
    <t>Delay of project due to conflict with other stakeholders</t>
  </si>
  <si>
    <t>Resulting in - Late design and submission,  requiring design changes re-work, additional cost and delays</t>
  </si>
  <si>
    <t>Ensure that conflict with other stakeholders is reduced to a minimum by clear contract, scope of the work and communication plan</t>
  </si>
  <si>
    <t>Lack of cooperation with key stakeholders (MWSS, Customers, PMD, WN and BA)</t>
  </si>
  <si>
    <t>Resulting in delays, poor performance and potential to fully meet Master Plan objectives</t>
  </si>
  <si>
    <t>Difficulty in proper coordination with the Legal and CQESH Department for the complete compliance of legal and technical requirements</t>
  </si>
  <si>
    <t>Resulting in project delay</t>
  </si>
  <si>
    <t>Make communication plan in order to avoid difficulty in proper coordination with the Legal and CQESH Department for the complete compliance of legal and technical requirements</t>
  </si>
  <si>
    <t>Commissioning delayed due to operational constraints or unscheduled disruptions</t>
  </si>
  <si>
    <t>Extended disruptions beyond scheduled construction period. Increased costs.</t>
  </si>
  <si>
    <t>Strict supervision on contractor's work programme. Provision of significant penalties on contractor's delay.</t>
  </si>
  <si>
    <t>Take care of strict supervision on contractor's work programme. Provision of significant penalties on contractor's delay and pay attention to this aspect while drafting contract conditions and during implementation of the project.</t>
  </si>
  <si>
    <t>Equipment is found not to perform as expected</t>
  </si>
  <si>
    <t>Delay in completion. Increased costs</t>
  </si>
  <si>
    <t xml:space="preserve">Factory acceptance tests &amp; Monitor contractor's installation procedures. </t>
  </si>
  <si>
    <t xml:space="preserve">Ensure factory acceptance tests &amp;monitor contractor's installation procedures. </t>
  </si>
  <si>
    <t>Fundamental flaw in scheme, does not operate as intended on commissioning</t>
  </si>
  <si>
    <t>Delay in completion. Increased costs. Lower than expected production.</t>
  </si>
  <si>
    <t>Thorough design checking of contractor's design and construction methodology.</t>
  </si>
  <si>
    <t>Pay attention to this aspect while drafting contract conditions and during implementation of the project.</t>
  </si>
  <si>
    <t xml:space="preserve">Problems with control system (i.e. unstable, control systems do not talk across network), and problems interfacing with existing mechanical and electrical systems.  </t>
  </si>
  <si>
    <t>Delays, operational inconvenience.</t>
  </si>
  <si>
    <t>Program O&amp;M manuals do not meet expectations. O&amp;M problems discovered following commissioning</t>
  </si>
  <si>
    <t>Impaired commissioning and training of staff.</t>
  </si>
  <si>
    <t>Do not allow commissioning without proper O&amp;M manuals.</t>
  </si>
  <si>
    <t>Boundary conditions and information on new sludge pipeline unknown</t>
  </si>
  <si>
    <t>Contractor may abuse the absence of information to promote his claims for extra time and costs.</t>
  </si>
  <si>
    <t>Contractor to survey the site and determine alignment, to be made part of the scope.</t>
  </si>
  <si>
    <t>Specify in the Employer's Requirements to survey the site and determine alignment as part of the scope</t>
  </si>
  <si>
    <t>Detail in Concept Design insufficient to effectively assess it and gain approval</t>
  </si>
  <si>
    <t>Many queries during tender phase. Higher contract prices.</t>
  </si>
  <si>
    <t>Reference design to be reviewed throroughly.</t>
  </si>
  <si>
    <t>Review reference concept design throroughly in order to avoid many queries during tender phase, resulting in higher contract prices.</t>
  </si>
  <si>
    <t>Sub-optimal design resulting from rigidity of terms of reference</t>
  </si>
  <si>
    <t>Objective of water treatment @ 2000 NTU without loss of production not reached</t>
  </si>
  <si>
    <t>Thorough review of design</t>
  </si>
  <si>
    <t>Avoid too rigid and unrealistic terms of reference e.g. objective of water treatment &gt; 2000 NTU without loss of production</t>
  </si>
  <si>
    <t>Uncertainties in design parameters delays detailed design</t>
  </si>
  <si>
    <t>Delays in contractor's design.</t>
  </si>
  <si>
    <t>Ensure thorough review of reference design in order to avoid uncertainties in design parameters and delay of detailed design .</t>
  </si>
  <si>
    <t xml:space="preserve">Vendor generated drawings are used in lieu of engineering drawings </t>
  </si>
  <si>
    <t>Construction mistakes</t>
  </si>
  <si>
    <t>Proper due diligence during detailed design review / stage.</t>
  </si>
  <si>
    <t>Apply proper procedure to apply correct drawings in detailed design review / stage during detailed design review / stage in order to avoid construction mistaked.</t>
  </si>
  <si>
    <t>Excess noise or other impacts causes problems with local community</t>
  </si>
  <si>
    <t>The local communities have a set of regulations and rules for excessive noise controlling</t>
  </si>
  <si>
    <t>Proper schedule the activity (e.g. significant noise activity will be done in a restrict period in the day and not in the evening)</t>
  </si>
  <si>
    <t>Maynilad has a set of safety measurement and interfacing regulation with distribution pipeline</t>
  </si>
  <si>
    <t>Contractor to follow strickly the regulation</t>
  </si>
  <si>
    <t>Fatality</t>
  </si>
  <si>
    <t>Maynilad safety and healthy protocol</t>
  </si>
  <si>
    <t>Contractor to have QA/AC and safety officier onsite, all PPE have to be provided to workers</t>
  </si>
  <si>
    <t>Accepted lower standards of materials quality that affect durability of the facility (e.g. noozzles, filter media)</t>
  </si>
  <si>
    <t>The later performance of the facility will be lower, impact the acceptance from Maynilad and delay the construction and installation</t>
  </si>
  <si>
    <t>Random and specific Material testings are required before allowing materials to be used</t>
  </si>
  <si>
    <t xml:space="preserve">Maynilad to have a strick rule to be clear in the bidding documents and in the contract with the bidder. Also before the work, to annouce that any lower standard materials are not allowed </t>
  </si>
  <si>
    <t>Breach of licence conditions during construction - water quality, odour or noise issues</t>
  </si>
  <si>
    <t>Resulting in - Fines and compensation payments. Noise can be encounterred that affect the the resident</t>
  </si>
  <si>
    <t>There is a certain set of regulation and rule goverving this term, but we cannot 100% identify now</t>
  </si>
  <si>
    <t>Limit the working hours</t>
  </si>
  <si>
    <t xml:space="preserve">Constrainst in the workable area is insufficient for construction needs </t>
  </si>
  <si>
    <t>Resulting in - difficult working conditions, causing delay and increased costs</t>
  </si>
  <si>
    <t>Not Yet Defined</t>
  </si>
  <si>
    <t>Maynilad to define a specific set of workable area in the bid doc for the contractor to follow. Also the contractor needs to perform construction method including layout and flow of work</t>
  </si>
  <si>
    <t>Damage to existing non-utilities infrastructure during construction.</t>
  </si>
  <si>
    <t>Resulting in - Additional costs to rectify damage. Possible delays in completing site works.</t>
  </si>
  <si>
    <t>Maynilad has a set of penalty schedule for damaging other properties</t>
  </si>
  <si>
    <t>Maynilad to clear state in the contract the responsibility that can e incurred by the contractor. The contractor has to provide safety officier and following rules, pre-examining condition before executing the work</t>
  </si>
  <si>
    <t xml:space="preserve">Damage to Power Telco, fiber optic network, pipe, and electrical line, or unknown utilities infrastructure during construction </t>
  </si>
  <si>
    <t>Resulting in - re-instatement costs and complaints from utilities provider and its customers</t>
  </si>
  <si>
    <t>Each service providers have already a set of rule concerning this item</t>
  </si>
  <si>
    <t>Maynilad to request contractor to pre-survey using appropriate methods to make sure that no damage to be incurred. Contractor to get the permit from relevant bodies before executing the work</t>
  </si>
  <si>
    <t>Difficulties disposing of construction waste resulting in site contamination</t>
  </si>
  <si>
    <t>Resulting in - higher than expected disposal costs, additional site clean up costs. Constructor to pay Maynilad safety schedule</t>
  </si>
  <si>
    <t>Regulation of waste management is in place</t>
  </si>
  <si>
    <t>Comply with the the safety and environtmental requirements of the local government. Maynilad to provide contractor more specific requirements regarding the disposing of construction waste and materiasl</t>
  </si>
  <si>
    <t>Disconnect, gap, miscommunication, and unfriendly relationship between technical teams (designers), contractors</t>
  </si>
  <si>
    <t>Resulting in - Errors, non-optimal solutions and re-work</t>
  </si>
  <si>
    <t>Only general requirement in the bid docs but not specific for the project</t>
  </si>
  <si>
    <t>Request contractor to develop Job Execution Plan, weekly report, bi-weekly report, and monthly report. Social interfaction  might be necessary</t>
  </si>
  <si>
    <t>Disruption to bus services from temporary road closures during construction (e.g. specify road for equipment and material delivery)</t>
  </si>
  <si>
    <t>Resulting in - Potential for public complaints abd calls for compensation.</t>
  </si>
  <si>
    <t>Contructor to investigate the width of the road for equipment and material delivery</t>
  </si>
  <si>
    <t>Engineering difficulties or inability to construct pipeline across a flood plain</t>
  </si>
  <si>
    <t>Resulting in - increased engineering design and construction costs.</t>
  </si>
  <si>
    <t>Maynilad to provide flood data of the plant and the reservois. The flood study conducted done by GHD can be forwarded.</t>
  </si>
  <si>
    <t>Excessive pipe failures due to poor quality practices. Existing ultilities (e.g. piple, pump) can be damaged to due to interfacing with construction and installation</t>
  </si>
  <si>
    <t>Resulting in - high repair costs and delays in commissioning. Resulting in - temporary shutting down of the equipment in particularly and plant operation</t>
  </si>
  <si>
    <t>Maynilad has a certain requirements for contractors with regard to experiences of engineers, pm, and workers</t>
  </si>
  <si>
    <t>Maynilad to strickly monitor the actitivities and impose penalty. Contractor to submit the construction and installation plan that has to be reviewed carefully before allowing the execution</t>
  </si>
  <si>
    <t>Contractor to examine the construction method in order to ensure that there is no excessive reinstatement</t>
  </si>
  <si>
    <t>There is a regulation on fire protection</t>
  </si>
  <si>
    <t>Contractor to provide safety officier and also to examine the weathering condition, wind direction, source of fire (e.g. eletrictic line)</t>
  </si>
  <si>
    <t>Lack of, or inadequate, planning and coordination with Maynilad in construction resulting in errors or poor working practices.</t>
  </si>
  <si>
    <t>Resulting in - errors, delays and re-work to rectify the problem. Possible loss of image to MW and Alliance.</t>
  </si>
  <si>
    <t>Maynilad has already a set of management standard for construction project management practice</t>
  </si>
  <si>
    <t>Contractor to submit the job management plant, scheduling, and regular reports</t>
  </si>
  <si>
    <t>Late changes in design resulting from changes in operating procedures</t>
  </si>
  <si>
    <t>Resulting in - re-work and delays in construction and commissioning.</t>
  </si>
  <si>
    <t>Maynilad has penalty scheme for late deliverables</t>
  </si>
  <si>
    <t>Contractor to carefully examine the condition of the plant when bidding and ensure the constructability of the detailed design (e.g. value engineering)</t>
  </si>
  <si>
    <t>Late changes in requirements</t>
  </si>
  <si>
    <t>Resulting in - Failure to meet Desired Standards of Service, leading to expanded scope or work or re-work</t>
  </si>
  <si>
    <t>Change order system needs to be in placed to ensure proper records</t>
  </si>
  <si>
    <t>Late discovery of contaminated materials (e.g.. unknown tip sites, acid sulphate soils).</t>
  </si>
  <si>
    <t>Results in - delays and clean up costs</t>
  </si>
  <si>
    <t>Maynilad to specify this risk due to its uncertainty so the contractor can be relaxed</t>
  </si>
  <si>
    <t>Latent conditions (soft ground / contamination)</t>
  </si>
  <si>
    <t>Resulting in - Master planning impeded. Changes to design/construction technique.</t>
  </si>
  <si>
    <t>Maynilad and contractor to sign a mutual agreement regarding any latent risk that could not foreseen to avoid arbitration</t>
  </si>
  <si>
    <t>Major incident or accident during construction alerts media to wider issues</t>
  </si>
  <si>
    <t>Resulting in - worker or public safety hazard and loss of reputation</t>
  </si>
  <si>
    <t>To define the protocol</t>
  </si>
  <si>
    <t>Noise causes local community anger</t>
  </si>
  <si>
    <t>Resulting in - Public complaints and additional works to resolve the problem</t>
  </si>
  <si>
    <t>Noise regulation</t>
  </si>
  <si>
    <t xml:space="preserve">Define clearly in the bid requirement for the constructor. </t>
  </si>
  <si>
    <t>Operational and constructability smarts/needs/inputs not fully realised or not incorporated by Contractor. Detailed design cannot be effectively and efficiently constructed</t>
  </si>
  <si>
    <t>Bid docs have a set of requirement for ensuring the constructability</t>
  </si>
  <si>
    <t>Maynilad to engage in earlier review as much as possible. Contractor to be requested to have parallel review with Maynilad . Value engineering must be done</t>
  </si>
  <si>
    <t>Poor and ineffective construction working causing damage to equipment and people</t>
  </si>
  <si>
    <t>Resulting in - damage to equipment, repairs and re-work.</t>
  </si>
  <si>
    <t>Bid docs and quality control system</t>
  </si>
  <si>
    <t>Safety officer, staff experiences, and detailed work program to be reviwed and approved.</t>
  </si>
  <si>
    <t xml:space="preserve">Poor quality work as pipe laying and plumbing contractors not adequately trained, accredited or properly subjected to pre-selection processes. </t>
  </si>
  <si>
    <t xml:space="preserve">Maynilad to strickly control personnel from contractor (e.g training certificates). Monitoring sheets and evaluation to be conducted regularly. Contractor to be paid penalty </t>
  </si>
  <si>
    <t xml:space="preserve">Poor traffic management during construction disrupts schools or emergency services with increased potential for road traffic accidents </t>
  </si>
  <si>
    <t>Resulting in - adverse media publicity and/or death or serious injury</t>
  </si>
  <si>
    <t>Bid docs and work program</t>
  </si>
  <si>
    <t>construction and installation layout, schedule, etc</t>
  </si>
  <si>
    <t xml:space="preserve">Causing the delay </t>
  </si>
  <si>
    <t>Bid docs and supervision</t>
  </si>
  <si>
    <t>rigorous supervision and methodological steps orientation</t>
  </si>
  <si>
    <t>Problems gaining access  for the purposes of construction</t>
  </si>
  <si>
    <t>Resulting in - delays with associated increased costs</t>
  </si>
  <si>
    <t>Bid docs and permits</t>
  </si>
  <si>
    <t>contractor to be proactive in requesting the working permit (e.g weekly or bi-weekly working permit by preparing a good detailed schedule for approval)</t>
  </si>
  <si>
    <t xml:space="preserve">Problems with network hydraulics causes water hammer or cavitation effects and possible damage to infrastructure and or reticulation </t>
  </si>
  <si>
    <t>Resulting in - loss and damage to site materials and equipment.</t>
  </si>
  <si>
    <t>Quality check and integrity check before, during and after installation</t>
  </si>
  <si>
    <t>Process control system inadequate – cannot cope with operating conditions experienced</t>
  </si>
  <si>
    <t>Resulting in - Non-optimal system working and high failure rates  (very risky)</t>
  </si>
  <si>
    <t>Bid docs and contract</t>
  </si>
  <si>
    <t>Pre-accessment of specs and quality before installation. Detailed design and calculation need to be reviewed. Impose process proving</t>
  </si>
  <si>
    <t>Pump vibration excessive in one or more pumping stations</t>
  </si>
  <si>
    <t>Resulting in - additional costs to rectify the problem, delays in commissioning and hand over.</t>
  </si>
  <si>
    <t>Specs and Bid docs</t>
  </si>
  <si>
    <t xml:space="preserve">Integrity check </t>
  </si>
  <si>
    <t>Time and cost pressures may lead to short cuts in quality aspects</t>
  </si>
  <si>
    <t>Specs and Bid docs and Contract</t>
  </si>
  <si>
    <t>Project control system to be inplaced</t>
  </si>
  <si>
    <t>Trespass, sabotage, theft and/or vandalism</t>
  </si>
  <si>
    <t xml:space="preserve">Resulting in - repair costs and delays awaiting spares </t>
  </si>
  <si>
    <t xml:space="preserve">Under estimate in the work involved </t>
  </si>
  <si>
    <t>Resulting in - financial impact to Alliance or operational delays/inadequacies. Difficulty establishing the changes required, poor process or strategy development, poor alignment with business objectives or operating needs. Expanded work scope and increased costs to resolve change management problems</t>
  </si>
  <si>
    <t>Unforeseen  difficulties in access.</t>
  </si>
  <si>
    <t>Unforeseen need to re-align pipeline routes</t>
  </si>
  <si>
    <t>Resulting in - protracted legal proceedings, re-alignment of routes, delays and increased cost</t>
  </si>
  <si>
    <t>Unforeseen need to upgrade roads for construction traffic</t>
  </si>
  <si>
    <t>Resulting in - New cost chain</t>
  </si>
  <si>
    <t>Resulting in - programme delays and increased costs</t>
  </si>
  <si>
    <t>Security and Safety Requirements</t>
  </si>
  <si>
    <t>Scopes and schedule</t>
  </si>
  <si>
    <t>Detailed the bid docs, scope and schedule. Contractor to review the scope constantly in daily and weekly basic</t>
  </si>
  <si>
    <t>Security regulations</t>
  </si>
  <si>
    <t>Work program to be detailed along with schedule</t>
  </si>
  <si>
    <t>Contractor to access condition of existing traffic route and internal construction traffic flow and space</t>
  </si>
  <si>
    <t>Maynilad working hours (8AM-6PM) include Saturday</t>
  </si>
  <si>
    <t>Allowance of extended working hour with pre-request. Contractor to prepare 1-2 weeks in advance the work program to be submitted for approval</t>
  </si>
  <si>
    <t>Change in interest rates assumed resulting in escalating in price base of the TOC</t>
  </si>
  <si>
    <t>Contract</t>
  </si>
  <si>
    <t>Contractor procurement practices not supported by Maynilad</t>
  </si>
  <si>
    <t>Resulting in - Delays and increased costs</t>
  </si>
  <si>
    <t>Both Contractor and Maynilad to align the schedule of procurement and delivery for on-schedule payment and coordination</t>
  </si>
  <si>
    <t>Long supply lead times for equipment result in trade-offs in equipment performance.</t>
  </si>
  <si>
    <t>Market conditions restrict availability of equipment</t>
  </si>
  <si>
    <t>Resulting in - Sub-optimal choice or delay to provision</t>
  </si>
  <si>
    <t>Oversees suppliers related risks (Insurance, Lead time, currency price, etc)</t>
  </si>
  <si>
    <t xml:space="preserve">Resulting in - Budget Exceeded </t>
  </si>
  <si>
    <t>Procurement Strategy does not meet probity expectations of the contructor's members &amp; key stakeholders</t>
  </si>
  <si>
    <t>Supplier deals causes sub-optimal choices or friction between parties</t>
  </si>
  <si>
    <t>Supplier goes into receivership &amp; alternative delivery is not readily available</t>
  </si>
  <si>
    <t>Contractor to follow the contract term</t>
  </si>
  <si>
    <t>Project control system</t>
  </si>
  <si>
    <t xml:space="preserve">Adverse publicity in the media results in increased demand for compensation. </t>
  </si>
  <si>
    <t>Resulting in - escalation in number of compensation claims and knock on costs from consumers</t>
  </si>
  <si>
    <t xml:space="preserve">Organise communication structure in such a way in order to avoid adverse publicity in the media which may result in increased demand for compensation. </t>
  </si>
  <si>
    <t>Ineffective OH&amp;S management, potentially leading to worker health safety</t>
  </si>
  <si>
    <t>Resulting in - Work stoppages while problems are rectified. Re-work and possible health effects and accidents</t>
  </si>
  <si>
    <t xml:space="preserve">Inefficient  team working within Project </t>
  </si>
  <si>
    <t>Resulting in - Poor communications, poor focus, miss-understandings. errors, delays and increased programme costs</t>
  </si>
  <si>
    <t xml:space="preserve">Lack of coordination with other Maynilad projects and/or with other Packages </t>
  </si>
  <si>
    <t xml:space="preserve">Monitoring of resource allocation for the project </t>
  </si>
  <si>
    <t>Check that contractor have sufficient resources to avoid re-work and not meeting the detailed Design Targets</t>
  </si>
  <si>
    <t xml:space="preserve">Loss of key personnel </t>
  </si>
  <si>
    <t>Resulting in - Difficulties completing specific tasks, non-optimal solutions, additional checking and re-work</t>
  </si>
  <si>
    <t xml:space="preserve">Regular verification of status and review of key personnel's compentencies </t>
  </si>
  <si>
    <t>Regularly verify status of the work and review key personnel's compentencies by audits</t>
  </si>
  <si>
    <t>One party terminates or defaults</t>
  </si>
  <si>
    <t>Work stoppage/delay on project implementation</t>
  </si>
  <si>
    <t>Ensure in the selection process reliable parties with good references in the project</t>
  </si>
  <si>
    <t>Poor alignment between Employer and the Contractor resulting in lack of communication resulting in late changes and rework</t>
  </si>
  <si>
    <t>Resulting in - re-work to modify detailed design and business model.</t>
  </si>
  <si>
    <t>Make clear communication procedure to avoid poor alignment between Employer and the Contractor resulting in rework or change afterwards</t>
  </si>
  <si>
    <t>Poor or late knowledge transfer from program to Employer at hand over</t>
  </si>
  <si>
    <t xml:space="preserve">Resulting in - commissioning and hand over delay. e.g. Operation &amp; Maintenance manuals late. </t>
  </si>
  <si>
    <t>Ensure via contracts proper knowledge transfer in order to avoid delay of commissioning and hand over</t>
  </si>
  <si>
    <t>Poor performance of sub-contractors results in increased costs and/or delays</t>
  </si>
  <si>
    <t xml:space="preserve">Resulting in - Increased cost of checking and re-work, resulting in programme delays </t>
  </si>
  <si>
    <t>Strict implementation of policy in subcontracting</t>
  </si>
  <si>
    <t>Apply strict Maynilad policy with regard to subcontracting in e.g. selection to avoid poor performance and delay of the project</t>
  </si>
  <si>
    <t>Poor procurement / delivery model results in increase programme costs and/or delays</t>
  </si>
  <si>
    <t>Resulting in - Delays and increased costs. Master plan objectives not delivered. Equipment Supplied does not meet performance agreed for purchase</t>
  </si>
  <si>
    <t>Procurement scheduling and monitoring</t>
  </si>
  <si>
    <t>Strictly monitor Contractor's performance on monthly basis to avoid poor procurement / delivery model results in increase programme costs and/or delays</t>
  </si>
  <si>
    <t>Poor Contractor team performance leads to missed programme milestones and/or sub-optimal solutions</t>
  </si>
  <si>
    <t>Resulting in - Delays in the programme, poor quality results and failure to fully meet Master Plan objectives.</t>
  </si>
  <si>
    <t>Strict monitoring of Contractor's performance on quarterly basis</t>
  </si>
  <si>
    <t>Check how and how often contractor's performance will be monitored (e.g. on monthly basis)</t>
  </si>
  <si>
    <t>Project difficulties resulting from poor performance of Employer staff.</t>
  </si>
  <si>
    <t>Project programming difficulties because of hidden agendas</t>
  </si>
  <si>
    <t>Resulting in - Non-optimal solutions, failure to meet programme milestones or targets</t>
  </si>
  <si>
    <t>Be aware of hidden agendasof subcontractors and have open conservation</t>
  </si>
  <si>
    <t>Permit Acquisition Issue (political)</t>
  </si>
  <si>
    <t>Delay in project implementation</t>
  </si>
  <si>
    <t>Advance coordination/presentation to concern LGU to project objective</t>
  </si>
  <si>
    <t>Resistance to change in Maynilad</t>
  </si>
  <si>
    <t>Resulting in - Poor team moral and performance increased costs slow working.</t>
  </si>
  <si>
    <t>Cascading of project objective to team member prior to project implementation</t>
  </si>
  <si>
    <t>Cascade of project objective to team member prior to project implementation</t>
  </si>
  <si>
    <t>Scope creep caused by unplanned activities. Improper scoping</t>
  </si>
  <si>
    <t>Resulting in - scope creep, additional costs and delays to the programme.</t>
  </si>
  <si>
    <t>Detailed scoping during design phase</t>
  </si>
  <si>
    <t>Ensuredetailed scoping during design phase, in order to avoid creep</t>
  </si>
  <si>
    <t>Tight time frames compounds shortage of resources e.g. mobilising for key discussions or workshops</t>
  </si>
  <si>
    <t>Resulting in - sub-standard working, re-work and increased costs and delays</t>
  </si>
  <si>
    <t>Timely manpower allocation and proper scheduling</t>
  </si>
  <si>
    <t>Ensure in planning timely manpower allocation and proper scheduling</t>
  </si>
  <si>
    <t>Resulting in - lack of 'buy-in' for project, failure to fully meet Master Plan objectives</t>
  </si>
  <si>
    <t>Avoid uncontrolled releases to press, and that this should be done by a communication professional</t>
  </si>
  <si>
    <t>Unavailability/loss of key person delays project</t>
  </si>
  <si>
    <t xml:space="preserve">Resulting in - Delays while replacement found or extra levels of checking imposed. Disruption to information flow. Cost overruns </t>
  </si>
  <si>
    <t>Ensure sufficient back-up of staff</t>
  </si>
  <si>
    <t>Unsuccessful sub-contractor selection process resulting in delays and non-optimal ways of working</t>
  </si>
  <si>
    <t>Resulting in - increased construction costs and delays in commissioning</t>
  </si>
  <si>
    <t>Take care of quality of subcontractors in order to avoid delay due to stupidities</t>
  </si>
  <si>
    <t>Resulting in increased procurement costs</t>
  </si>
  <si>
    <t>Issue on site accessibility due to public complaints.</t>
  </si>
  <si>
    <t>Timely and appropriate public consultation</t>
  </si>
  <si>
    <t>Ensure timely and appropriate public consultation</t>
  </si>
  <si>
    <t>Traffic congestion brought by the on-going construction of MRT project along Commonwealth Road</t>
  </si>
  <si>
    <t>Delay on delivery of materilas and equipment and daily deployment of Contractor's personnel. 
Note: No contractor's barracks is allowed inside the LMTP facilities.</t>
  </si>
  <si>
    <t>Proper coordination with local government relative to traffic management</t>
  </si>
  <si>
    <t>Ensure proper coordination with local government relative to traffic management</t>
  </si>
  <si>
    <t>Ability to find adequate and liveable space for warehouse, fabrication (on-site) and barracks (offsite) for their workers</t>
  </si>
  <si>
    <t>Delay on commencement of work.</t>
  </si>
  <si>
    <t>Pay attention in planning the location storage of materials and in particular the location of the new MCC</t>
  </si>
  <si>
    <t>Unavailability of dedicated key personnel for the project</t>
  </si>
  <si>
    <t>Port congestion issue</t>
  </si>
  <si>
    <t>Delay on delivery of materilas and equipment.</t>
  </si>
  <si>
    <t>Good procurement timing</t>
  </si>
  <si>
    <t>Take care of good procurement timing</t>
  </si>
  <si>
    <t>Environment</t>
  </si>
  <si>
    <t xml:space="preserve">Natural disaster necessitates temporary shut-down of site </t>
  </si>
  <si>
    <t xml:space="preserve">Signficant typhoon event </t>
  </si>
  <si>
    <t>Proper staffing during natural disaster</t>
  </si>
  <si>
    <t>Plan in case of a forseeable disaster (storm and typhone) proper staffing, aware of the hazard given the new situation</t>
  </si>
  <si>
    <t xml:space="preserve"> Natural disaster necessitates temporary shut-down of site </t>
  </si>
  <si>
    <t>Significant earthquake event</t>
  </si>
  <si>
    <t>Take the possibility of an earthquacke into account with regard to the new situation during the construction</t>
  </si>
  <si>
    <t>Contaminants from construction site run-off resulting in environmental pollution and/or water quality issue.</t>
  </si>
  <si>
    <t>Resulting in - Pollution clean up costs, fines. Additional site management costs for control of hazardous material and site audits. New work chain to rectify the problem</t>
  </si>
  <si>
    <t xml:space="preserve">Timely monitoring of construction activities that involves contaminants </t>
  </si>
  <si>
    <t>DENR, others impose unforeseen regulations or conditions</t>
  </si>
  <si>
    <t>Resulting in - Changes in water balance and/ or business model to achieve viable solutions.</t>
  </si>
  <si>
    <t xml:space="preserve">Strict complinace with DENR Requirements </t>
  </si>
  <si>
    <t>Ensure strict compliance with DENR Requirements with respect to the refurbishment of the installation</t>
  </si>
  <si>
    <t>Excessive loss of soil or damage to soil quality during construction</t>
  </si>
  <si>
    <t>Resulting in - new work chain to re-instate soils</t>
  </si>
  <si>
    <t>Flood off site causes damage/delay on delivery of equipment</t>
  </si>
  <si>
    <t>Heavy rainfall</t>
  </si>
  <si>
    <t>Resulting in - Changes in the business model required</t>
  </si>
  <si>
    <t>Ensure proper staffing during natural disaster</t>
  </si>
  <si>
    <t xml:space="preserve">Major natural disaster causes significant disruption and repairs during construction or impacts treatment process </t>
  </si>
  <si>
    <t>Resulting in - major re-work and delays</t>
  </si>
  <si>
    <t>Major wet weather event causes delay in the implementation of the project</t>
  </si>
  <si>
    <t>Pipe routes disturbing high biodiversity flora and fauna areas</t>
  </si>
  <si>
    <t>Resulting in - New work chain to quantify impacts and seek solutions.</t>
  </si>
  <si>
    <t>Delay in possible requirement of acquisition of tree-cutting permit</t>
  </si>
  <si>
    <t>Unidentified existing underground utilities</t>
  </si>
  <si>
    <t>RISK REGISTER</t>
  </si>
  <si>
    <t>No approval for tree cutting</t>
  </si>
  <si>
    <t>Govement rejection</t>
  </si>
  <si>
    <t>No accessibility</t>
  </si>
  <si>
    <t>No approval for dewatering schedule</t>
  </si>
  <si>
    <t>No approvel on the design</t>
  </si>
  <si>
    <t>No approval to perform construction from PMD</t>
  </si>
  <si>
    <t>Not yet decided</t>
  </si>
  <si>
    <t>Robin</t>
  </si>
  <si>
    <t>Edison</t>
  </si>
  <si>
    <t>Contractor</t>
  </si>
  <si>
    <t>No work execution due to safety issue</t>
  </si>
  <si>
    <t>No work to be executed due to no approval</t>
  </si>
  <si>
    <t>Not yet decided as it will be in the next phase</t>
  </si>
  <si>
    <t>Robin/Nam</t>
  </si>
  <si>
    <t>No accurate design or hazard during earthwork</t>
  </si>
  <si>
    <t>No data for process analysis, OPEX estimation</t>
  </si>
  <si>
    <t>Nam</t>
  </si>
  <si>
    <t>To coordinate with the project CORE team for finalizing the docs and adedum ASAP</t>
  </si>
  <si>
    <t xml:space="preserve"> - Ensure that scope provided during preparation of bidding documents are complete and clearly written
- GHD to organize site visit to bidders and provide answers to queries</t>
  </si>
  <si>
    <t>Conflict of scope on different projects (e.g. lagoon review or actual work with LMTP1 project)</t>
  </si>
  <si>
    <t>No specific scope of work to be defined for lagoon 1. The CAPEX can increase</t>
  </si>
  <si>
    <t>GHD to request Maynilad for final confirmation</t>
  </si>
  <si>
    <t>Nam/Scott</t>
  </si>
  <si>
    <t>No detailed schedule for procurement</t>
  </si>
  <si>
    <t>GHD has defined the SoQ in the WBS and request bidders to follow during bidding process</t>
  </si>
  <si>
    <t>Other stakeholder to disturb the project</t>
  </si>
  <si>
    <t>GHD to work closly with Maynilad on solving the problem</t>
  </si>
  <si>
    <t>Robin/Nam/Scott</t>
  </si>
  <si>
    <t>No coordination</t>
  </si>
  <si>
    <t>Bid price to change</t>
  </si>
  <si>
    <t>Lost of money in the future due to the change in the interest rate</t>
  </si>
  <si>
    <t>No approval by Maynilad and GHD on procurement plan</t>
  </si>
  <si>
    <t>Procurement plan has been provisionally written in the tender package (e.g. the WBS) and the payment schedule for each work package</t>
  </si>
  <si>
    <t>Late arrival of long lead equiment</t>
  </si>
  <si>
    <t>Project delays and possible cost variation</t>
  </si>
  <si>
    <t>GHD and Maynilad has defined the schedule in the tender package</t>
  </si>
  <si>
    <t>Cost increase</t>
  </si>
  <si>
    <t xml:space="preserve">Change order in procurement </t>
  </si>
  <si>
    <t>Delay and cost increaset</t>
  </si>
  <si>
    <t>Pre-qualification and bid docs have been written and the procurement strategy has been specified</t>
  </si>
  <si>
    <t>No approval to use the low quality material (QA?AC)</t>
  </si>
  <si>
    <t>Bid docs and contract, GHD/Maynilad to define the QA/QC protocol for the construction phase</t>
  </si>
  <si>
    <t>Late arrival/deliveray of equipment and facilities</t>
  </si>
  <si>
    <t>Negative impact on earthwork and alighment of design/construction. Maynilad might need to pay compensation</t>
  </si>
  <si>
    <t xml:space="preserve">Environmental issue </t>
  </si>
  <si>
    <t>GHD has defined the SoW and specify the requirements for protection of flora and fauna area</t>
  </si>
  <si>
    <t>Significant delay and cost increase</t>
  </si>
  <si>
    <t>Serious conflict and misunderstanding and eventually result in delay and major conflict</t>
  </si>
  <si>
    <t>A job management plan has been developed and will be updated for the next phase</t>
  </si>
  <si>
    <t>Maynilad has defined the possible area for temp office and storage and this information has been written in the bid docs</t>
  </si>
  <si>
    <t>Nam/Robin/Edgar</t>
  </si>
  <si>
    <t>Delay in the schedule of work package item that having to do with tree cutting (e.g. new sludge piping line)</t>
  </si>
  <si>
    <t>Robin/Judy</t>
  </si>
  <si>
    <t>NA</t>
  </si>
  <si>
    <t>Solved</t>
  </si>
  <si>
    <t>Partially solved</t>
  </si>
  <si>
    <t>In part 1 of the tender package, value of interest rate has been defined. The value is 9.3%, which will be used by the Bidders to price and to estimate the OPEX for bidding purpose.</t>
  </si>
  <si>
    <t>Use the same risk reduction measurement defined in previous step.</t>
  </si>
  <si>
    <t>resulting in injuries, deaths, and properties damage</t>
  </si>
  <si>
    <t>Strict Implementation of Maynilad Safety Policy. GHD to conduct risk safety induction to participants of bidders, who attend site visits for bidding purposes.</t>
  </si>
  <si>
    <t>Low efficiency and potential conflics</t>
  </si>
  <si>
    <t>Regular coordiantion meeting , establishment of core team to provide answers to bidders within reasonable time window (2 days)</t>
  </si>
  <si>
    <t>Scope of works not clearly defined for interrelated works with other projects of Maynilad</t>
  </si>
  <si>
    <t>Resulting in - confusion, slow working, no clearly defined SOWs, increased costs and programme delays.
E.g. SOWs of the Lagoon 1, which was provisionally in the SOWs of LMTP1 project but now transferred to LMTP2 bid.</t>
  </si>
  <si>
    <t>GHD to facilitate coordination works with Maynilad. E.g. + GHD supported Maynilad with drafting the SOWs based on conceptual design of Lagoon 1 done by ARUP.</t>
  </si>
  <si>
    <t xml:space="preserve">Resulting in - Increase cost and delays resulting from non-optimal methods of work. Increased levels of checking and potential for re-work. </t>
  </si>
  <si>
    <t>Contractural agreement to follow</t>
  </si>
  <si>
    <t xml:space="preserve"> + Affect the preparation of bidders during the bidding stage
 + change in design in later phase.</t>
  </si>
  <si>
    <t>Preparation of as-found drawing by Maynilad and GHD</t>
  </si>
  <si>
    <t>Relevant data has been enclosed with the tendear package.</t>
  </si>
  <si>
    <t>Bidders to query</t>
  </si>
  <si>
    <t>GHD to work closly with Maynilad on solving the problem. Direct discussion over the phone and email with the CORE team members to ensure a smooth communicaiton and understanding</t>
  </si>
  <si>
    <t>Status</t>
  </si>
  <si>
    <t>Edgar</t>
  </si>
  <si>
    <t>Nam/Robin/Scott</t>
  </si>
  <si>
    <t>In preparation</t>
  </si>
  <si>
    <t>Report Period: August 2017</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</si>
</sst>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2" x14ac:knownFonts="1">
    <font>
      <sz val="11"/>
      <color theme="1"/>
      <name val="Calibri"/>
      <family val="2"/>
      <scheme val="minor"/>
    </font>
    <font>
      <b/>
      <sz val="11"/>
      <color theme="1"/>
      <name val="Calibri"/>
      <family val="2"/>
      <scheme val="minor"/>
    </font>
    <font>
      <sz val="10"/>
      <name val="Arial"/>
      <family val="2"/>
    </font>
    <font>
      <sz val="12"/>
      <name val="Arial"/>
      <family val="2"/>
    </font>
    <font>
      <b/>
      <u/>
      <sz val="11"/>
      <color theme="1"/>
      <name val="Calibri"/>
      <family val="2"/>
      <scheme val="minor"/>
    </font>
    <font>
      <sz val="11"/>
      <color theme="0"/>
      <name val="Calibri"/>
      <family val="2"/>
      <scheme val="minor"/>
    </font>
    <font>
      <sz val="11"/>
      <color rgb="FFCCFFFF"/>
      <name val="Calibri"/>
      <family val="2"/>
      <scheme val="minor"/>
    </font>
    <font>
      <sz val="11"/>
      <color rgb="FF008080"/>
      <name val="Calibri"/>
      <family val="2"/>
      <scheme val="minor"/>
    </font>
    <font>
      <sz val="11"/>
      <color rgb="FF99CC00"/>
      <name val="Calibri"/>
      <family val="2"/>
      <scheme val="minor"/>
    </font>
    <font>
      <sz val="11"/>
      <color rgb="FFFF6600"/>
      <name val="Calibri"/>
      <family val="2"/>
      <scheme val="minor"/>
    </font>
    <font>
      <sz val="11"/>
      <color rgb="FFC0C0C0"/>
      <name val="Calibri"/>
      <family val="2"/>
      <scheme val="minor"/>
    </font>
    <font>
      <sz val="11"/>
      <color rgb="FFFFFF00"/>
      <name val="Calibri"/>
      <family val="2"/>
      <scheme val="minor"/>
    </font>
    <font>
      <sz val="16"/>
      <name val="Arial"/>
      <family val="2"/>
    </font>
    <font>
      <sz val="20"/>
      <color rgb="FF000000"/>
      <name val="Calibri"/>
      <family val="2"/>
    </font>
    <font>
      <sz val="11"/>
      <color rgb="FFFF0000"/>
      <name val="Calibri"/>
      <family val="2"/>
      <scheme val="minor"/>
    </font>
    <font>
      <sz val="16"/>
      <color rgb="FFFFFF00"/>
      <name val="Arial"/>
      <family val="2"/>
    </font>
    <font>
      <sz val="11"/>
      <color rgb="FFFFCC99"/>
      <name val="Calibri"/>
      <family val="2"/>
      <scheme val="minor"/>
    </font>
    <font>
      <sz val="11"/>
      <color rgb="FFFF9900"/>
      <name val="Calibri"/>
      <family val="2"/>
      <scheme val="minor"/>
    </font>
    <font>
      <b/>
      <sz val="16"/>
      <color theme="1"/>
      <name val="Arial"/>
      <family val="2"/>
    </font>
    <font>
      <sz val="16"/>
      <color theme="1"/>
      <name val="Arial"/>
      <family val="2"/>
    </font>
    <font>
      <sz val="16"/>
      <color theme="1"/>
      <name val="Calibri"/>
      <family val="2"/>
      <scheme val="minor"/>
    </font>
    <font>
      <b/>
      <sz val="16"/>
      <color theme="1"/>
      <name val="Calibri"/>
      <family val="2"/>
      <scheme val="minor"/>
    </font>
  </fonts>
  <fills count="24">
    <fill>
      <patternFill patternType="none"/>
    </fill>
    <fill>
      <patternFill patternType="gray125"/>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indexed="26"/>
        <bgColor indexed="64"/>
      </patternFill>
    </fill>
    <fill>
      <patternFill patternType="solid">
        <fgColor theme="6" tint="0.59999389629810485"/>
        <bgColor indexed="64"/>
      </patternFill>
    </fill>
    <fill>
      <patternFill patternType="solid">
        <fgColor indexed="27"/>
        <bgColor indexed="64"/>
      </patternFill>
    </fill>
    <fill>
      <patternFill patternType="solid">
        <fgColor rgb="FF92D050"/>
        <bgColor indexed="64"/>
      </patternFill>
    </fill>
    <fill>
      <patternFill patternType="solid">
        <fgColor indexed="50"/>
        <bgColor indexed="64"/>
      </patternFill>
    </fill>
    <fill>
      <patternFill patternType="solid">
        <fgColor theme="9" tint="-0.249977111117893"/>
        <bgColor indexed="64"/>
      </patternFill>
    </fill>
    <fill>
      <patternFill patternType="solid">
        <fgColor indexed="53"/>
        <bgColor indexed="64"/>
      </patternFill>
    </fill>
    <fill>
      <patternFill patternType="solid">
        <fgColor indexed="22"/>
        <bgColor indexed="64"/>
      </patternFill>
    </fill>
    <fill>
      <patternFill patternType="solid">
        <fgColor indexed="38"/>
        <bgColor indexed="64"/>
      </patternFill>
    </fill>
    <fill>
      <patternFill patternType="solid">
        <fgColor theme="0"/>
        <bgColor indexed="64"/>
      </patternFill>
    </fill>
    <fill>
      <patternFill patternType="solid">
        <fgColor indexed="10"/>
        <bgColor indexed="64"/>
      </patternFill>
    </fill>
    <fill>
      <patternFill patternType="solid">
        <fgColor indexed="47"/>
        <bgColor indexed="64"/>
      </patternFill>
    </fill>
    <fill>
      <patternFill patternType="solid">
        <fgColor indexed="52"/>
        <bgColor indexed="64"/>
      </patternFill>
    </fill>
    <fill>
      <patternFill patternType="solid">
        <fgColor indexed="21"/>
        <bgColor indexed="64"/>
      </patternFill>
    </fill>
    <fill>
      <patternFill patternType="solid">
        <fgColor rgb="FFFF0000"/>
        <bgColor indexed="64"/>
      </patternFill>
    </fill>
    <fill>
      <patternFill patternType="solid">
        <fgColor theme="9"/>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rgb="FF00B050"/>
        <bgColor indexed="64"/>
      </patternFill>
    </fill>
  </fills>
  <borders count="19">
    <border>
      <left/>
      <right/>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left style="thin">
        <color auto="1"/>
      </left>
      <right style="hair">
        <color auto="1"/>
      </right>
      <top style="hair">
        <color auto="1"/>
      </top>
      <bottom style="hair">
        <color auto="1"/>
      </bottom>
      <diagonal/>
    </border>
    <border>
      <left style="thin">
        <color auto="1"/>
      </left>
      <right style="hair">
        <color auto="1"/>
      </right>
      <top style="hair">
        <color auto="1"/>
      </top>
      <bottom style="thin">
        <color auto="1"/>
      </bottom>
      <diagonal/>
    </border>
    <border>
      <left style="medium">
        <color indexed="64"/>
      </left>
      <right/>
      <top/>
      <bottom style="hair">
        <color indexed="64"/>
      </bottom>
      <diagonal/>
    </border>
    <border>
      <left style="thin">
        <color auto="1"/>
      </left>
      <right style="hair">
        <color auto="1"/>
      </right>
      <top style="thin">
        <color auto="1"/>
      </top>
      <bottom style="hair">
        <color auto="1"/>
      </bottom>
      <diagonal/>
    </border>
  </borders>
  <cellStyleXfs count="3">
    <xf numFmtId="0" fontId="0" fillId="0" borderId="0"/>
    <xf numFmtId="0" fontId="2" fillId="0" borderId="0"/>
    <xf numFmtId="0" fontId="2" fillId="0" borderId="0"/>
  </cellStyleXfs>
  <cellXfs count="157">
    <xf numFmtId="0" fontId="0" fillId="0" borderId="0" xfId="0"/>
    <xf numFmtId="0" fontId="1" fillId="0" borderId="1" xfId="0" applyFont="1" applyBorder="1"/>
    <xf numFmtId="0" fontId="0" fillId="0" borderId="1" xfId="0" applyBorder="1" applyAlignment="1">
      <alignment horizontal="center"/>
    </xf>
    <xf numFmtId="0" fontId="0" fillId="0" borderId="1" xfId="0" applyBorder="1"/>
    <xf numFmtId="0" fontId="1" fillId="0" borderId="1" xfId="0" applyFont="1" applyBorder="1" applyAlignment="1">
      <alignment horizontal="center"/>
    </xf>
    <xf numFmtId="0" fontId="0" fillId="0" borderId="0" xfId="0" applyBorder="1"/>
    <xf numFmtId="0" fontId="1" fillId="2" borderId="1" xfId="0" applyFont="1" applyFill="1" applyBorder="1" applyAlignment="1">
      <alignment horizontal="center" vertical="center" wrapText="1"/>
    </xf>
    <xf numFmtId="0" fontId="1" fillId="2" borderId="1" xfId="0" applyFont="1" applyFill="1" applyBorder="1" applyAlignment="1">
      <alignment horizontal="center" vertical="center"/>
    </xf>
    <xf numFmtId="0" fontId="0" fillId="0" borderId="1" xfId="0" applyBorder="1" applyAlignment="1">
      <alignment vertical="center"/>
    </xf>
    <xf numFmtId="0" fontId="0" fillId="0" borderId="1" xfId="0" applyBorder="1" applyAlignment="1">
      <alignment horizontal="center" vertical="center"/>
    </xf>
    <xf numFmtId="0" fontId="1" fillId="2" borderId="1" xfId="0" applyFont="1" applyFill="1" applyBorder="1" applyAlignment="1">
      <alignment vertical="center"/>
    </xf>
    <xf numFmtId="0" fontId="1" fillId="2" borderId="0" xfId="0" applyFont="1" applyFill="1" applyAlignment="1">
      <alignment vertical="center"/>
    </xf>
    <xf numFmtId="0" fontId="0" fillId="2" borderId="0" xfId="0" applyFill="1" applyAlignment="1">
      <alignment vertical="center"/>
    </xf>
    <xf numFmtId="0" fontId="0" fillId="4" borderId="3" xfId="0" applyFill="1" applyBorder="1" applyAlignment="1">
      <alignment vertical="center"/>
    </xf>
    <xf numFmtId="0" fontId="0" fillId="4" borderId="3" xfId="0" applyFill="1" applyBorder="1" applyAlignment="1">
      <alignment horizontal="center" vertical="center"/>
    </xf>
    <xf numFmtId="0" fontId="0" fillId="4" borderId="4" xfId="0" applyFill="1" applyBorder="1" applyAlignment="1">
      <alignment vertical="center"/>
    </xf>
    <xf numFmtId="0" fontId="0" fillId="4" borderId="4" xfId="0" applyFill="1" applyBorder="1" applyAlignment="1">
      <alignment horizontal="center" vertical="center"/>
    </xf>
    <xf numFmtId="0" fontId="1" fillId="4" borderId="5" xfId="0" applyFont="1" applyFill="1" applyBorder="1" applyAlignment="1">
      <alignment vertical="center"/>
    </xf>
    <xf numFmtId="0" fontId="0" fillId="4" borderId="5" xfId="0" applyFont="1" applyFill="1" applyBorder="1" applyAlignment="1">
      <alignment horizontal="center" vertical="center"/>
    </xf>
    <xf numFmtId="0" fontId="0" fillId="4" borderId="1" xfId="0" applyFill="1" applyBorder="1" applyAlignment="1">
      <alignment horizontal="center" vertical="center"/>
    </xf>
    <xf numFmtId="0" fontId="0" fillId="4" borderId="5" xfId="0" applyFill="1" applyBorder="1" applyAlignment="1">
      <alignment vertical="center"/>
    </xf>
    <xf numFmtId="0" fontId="0" fillId="4" borderId="5" xfId="0" applyFill="1" applyBorder="1" applyAlignment="1">
      <alignment horizontal="center" vertical="center"/>
    </xf>
    <xf numFmtId="0" fontId="0" fillId="0" borderId="0" xfId="0" applyAlignment="1">
      <alignment vertical="center"/>
    </xf>
    <xf numFmtId="0" fontId="0" fillId="0" borderId="8" xfId="0" applyBorder="1" applyAlignment="1">
      <alignment horizontal="center" vertical="center"/>
    </xf>
    <xf numFmtId="0" fontId="1" fillId="4" borderId="3" xfId="0" applyFont="1" applyFill="1" applyBorder="1" applyAlignment="1">
      <alignment horizontal="center" vertical="center"/>
    </xf>
    <xf numFmtId="0" fontId="0" fillId="4" borderId="3" xfId="0" applyFill="1" applyBorder="1" applyAlignment="1">
      <alignment horizontal="centerContinuous" vertical="center"/>
    </xf>
    <xf numFmtId="0" fontId="0" fillId="0" borderId="0" xfId="0" applyBorder="1" applyAlignment="1">
      <alignment vertical="center"/>
    </xf>
    <xf numFmtId="0" fontId="0" fillId="0" borderId="0" xfId="0" applyBorder="1" applyAlignment="1">
      <alignment horizontal="center" vertical="center"/>
    </xf>
    <xf numFmtId="0" fontId="0" fillId="0" borderId="0" xfId="0" applyBorder="1" applyAlignment="1">
      <alignment horizontal="left" vertical="center" wrapText="1"/>
    </xf>
    <xf numFmtId="0" fontId="0" fillId="0" borderId="0" xfId="0" applyFill="1" applyBorder="1" applyAlignment="1">
      <alignment vertical="center"/>
    </xf>
    <xf numFmtId="0" fontId="3" fillId="0" borderId="1" xfId="2" applyFont="1" applyFill="1" applyBorder="1" applyAlignment="1">
      <alignment horizontal="left" vertical="center"/>
    </xf>
    <xf numFmtId="0" fontId="3" fillId="0" borderId="1" xfId="2" applyFont="1" applyFill="1" applyBorder="1" applyAlignment="1">
      <alignment horizontal="center"/>
    </xf>
    <xf numFmtId="0" fontId="3" fillId="3" borderId="1" xfId="2" applyFont="1" applyFill="1" applyBorder="1" applyAlignment="1">
      <alignment horizontal="center" vertical="center"/>
    </xf>
    <xf numFmtId="0" fontId="3" fillId="3" borderId="1" xfId="2" applyFont="1" applyFill="1" applyBorder="1" applyAlignment="1">
      <alignment horizontal="left" vertical="center"/>
    </xf>
    <xf numFmtId="0" fontId="3" fillId="3" borderId="1" xfId="2" applyFont="1" applyFill="1" applyBorder="1" applyAlignment="1">
      <alignment horizontal="center"/>
    </xf>
    <xf numFmtId="0" fontId="0" fillId="6" borderId="1" xfId="0" applyFill="1" applyBorder="1" applyAlignment="1">
      <alignment vertical="center"/>
    </xf>
    <xf numFmtId="0" fontId="0" fillId="6" borderId="1" xfId="0" applyFill="1" applyBorder="1" applyAlignment="1">
      <alignment horizontal="centerContinuous" vertical="center"/>
    </xf>
    <xf numFmtId="0" fontId="0" fillId="6" borderId="3" xfId="0" applyFill="1" applyBorder="1" applyAlignment="1">
      <alignment vertical="center"/>
    </xf>
    <xf numFmtId="0" fontId="0" fillId="6" borderId="5" xfId="0" applyFill="1" applyBorder="1" applyAlignment="1">
      <alignment vertical="center"/>
    </xf>
    <xf numFmtId="0" fontId="0" fillId="6" borderId="1" xfId="0" applyFill="1" applyBorder="1" applyAlignment="1">
      <alignment horizontal="center" vertical="center"/>
    </xf>
    <xf numFmtId="0" fontId="0" fillId="6" borderId="3" xfId="0" applyFill="1" applyBorder="1" applyAlignment="1">
      <alignment horizontal="center" vertical="center"/>
    </xf>
    <xf numFmtId="0" fontId="0" fillId="6" borderId="5" xfId="0" applyFill="1" applyBorder="1" applyAlignment="1">
      <alignment horizontal="center" vertical="center"/>
    </xf>
    <xf numFmtId="0" fontId="0" fillId="5" borderId="0" xfId="0" applyFill="1"/>
    <xf numFmtId="0" fontId="0" fillId="5" borderId="0" xfId="0" applyFill="1" applyBorder="1"/>
    <xf numFmtId="0" fontId="6" fillId="7" borderId="11" xfId="0" applyFont="1" applyFill="1" applyBorder="1" applyAlignment="1">
      <alignment horizontal="center" vertical="center"/>
    </xf>
    <xf numFmtId="0" fontId="0" fillId="8" borderId="4" xfId="0" applyFill="1" applyBorder="1" applyAlignment="1">
      <alignment horizontal="center" vertical="center"/>
    </xf>
    <xf numFmtId="0" fontId="8" fillId="9" borderId="11" xfId="0" applyFont="1" applyFill="1" applyBorder="1" applyAlignment="1">
      <alignment horizontal="center" vertical="center"/>
    </xf>
    <xf numFmtId="0" fontId="0" fillId="10" borderId="4" xfId="0" applyFill="1" applyBorder="1" applyAlignment="1">
      <alignment horizontal="center" vertical="center"/>
    </xf>
    <xf numFmtId="0" fontId="9" fillId="11" borderId="11" xfId="0" applyFont="1" applyFill="1" applyBorder="1" applyAlignment="1">
      <alignment horizontal="center" vertical="center"/>
    </xf>
    <xf numFmtId="0" fontId="10" fillId="12" borderId="9" xfId="0" applyFont="1" applyFill="1" applyBorder="1" applyAlignment="1">
      <alignment horizontal="center" vertical="center"/>
    </xf>
    <xf numFmtId="0" fontId="10" fillId="12" borderId="11" xfId="0" applyFont="1" applyFill="1" applyBorder="1" applyAlignment="1">
      <alignment horizontal="center" vertical="center"/>
    </xf>
    <xf numFmtId="0" fontId="10" fillId="12" borderId="12" xfId="0" applyFont="1" applyFill="1" applyBorder="1" applyAlignment="1">
      <alignment horizontal="center" vertical="center"/>
    </xf>
    <xf numFmtId="0" fontId="7" fillId="13" borderId="11" xfId="0" applyFont="1" applyFill="1" applyBorder="1" applyAlignment="1">
      <alignment horizontal="center" vertical="center"/>
    </xf>
    <xf numFmtId="0" fontId="11" fillId="9" borderId="8" xfId="0" applyFont="1" applyFill="1" applyBorder="1" applyAlignment="1">
      <alignment horizontal="center" vertical="center"/>
    </xf>
    <xf numFmtId="0" fontId="11" fillId="11" borderId="8" xfId="0" applyFont="1" applyFill="1" applyBorder="1" applyAlignment="1">
      <alignment horizontal="center" vertical="center"/>
    </xf>
    <xf numFmtId="0" fontId="0" fillId="0" borderId="0" xfId="0" applyAlignment="1">
      <alignment vertical="center" wrapText="1"/>
    </xf>
    <xf numFmtId="0" fontId="0" fillId="6" borderId="3" xfId="0" applyFill="1" applyBorder="1" applyAlignment="1">
      <alignment vertical="center" wrapText="1"/>
    </xf>
    <xf numFmtId="0" fontId="0" fillId="6" borderId="5" xfId="0" applyFill="1" applyBorder="1" applyAlignment="1">
      <alignment vertical="center" wrapText="1"/>
    </xf>
    <xf numFmtId="0" fontId="0" fillId="0" borderId="8" xfId="0" applyBorder="1" applyAlignment="1">
      <alignment horizontal="left" vertical="center"/>
    </xf>
    <xf numFmtId="0" fontId="10" fillId="12" borderId="11" xfId="0" applyFont="1" applyFill="1" applyBorder="1" applyAlignment="1">
      <alignment vertical="center"/>
    </xf>
    <xf numFmtId="0" fontId="9" fillId="11" borderId="11" xfId="0" applyFont="1" applyFill="1" applyBorder="1" applyAlignment="1">
      <alignment vertical="center"/>
    </xf>
    <xf numFmtId="0" fontId="10" fillId="12" borderId="12" xfId="0" applyFont="1" applyFill="1" applyBorder="1" applyAlignment="1">
      <alignment vertical="center"/>
    </xf>
    <xf numFmtId="0" fontId="6" fillId="7" borderId="11" xfId="0" applyFont="1" applyFill="1" applyBorder="1" applyAlignment="1">
      <alignment vertical="center"/>
    </xf>
    <xf numFmtId="0" fontId="7" fillId="13" borderId="11" xfId="0" applyFont="1" applyFill="1" applyBorder="1" applyAlignment="1">
      <alignment vertical="center"/>
    </xf>
    <xf numFmtId="0" fontId="8" fillId="9" borderId="11" xfId="0" applyFont="1" applyFill="1" applyBorder="1" applyAlignment="1">
      <alignment vertical="center"/>
    </xf>
    <xf numFmtId="0" fontId="10" fillId="12" borderId="15" xfId="0" applyFont="1" applyFill="1" applyBorder="1" applyAlignment="1">
      <alignment vertical="center"/>
    </xf>
    <xf numFmtId="0" fontId="10" fillId="12" borderId="16" xfId="0" applyFont="1" applyFill="1" applyBorder="1" applyAlignment="1">
      <alignment vertical="center"/>
    </xf>
    <xf numFmtId="0" fontId="10" fillId="12" borderId="13" xfId="0" applyFont="1" applyFill="1" applyBorder="1" applyAlignment="1">
      <alignment vertical="center"/>
    </xf>
    <xf numFmtId="0" fontId="8" fillId="9" borderId="13" xfId="0" applyFont="1" applyFill="1" applyBorder="1" applyAlignment="1">
      <alignment vertical="center"/>
    </xf>
    <xf numFmtId="0" fontId="10" fillId="12" borderId="14" xfId="0" applyFont="1" applyFill="1" applyBorder="1" applyAlignment="1">
      <alignment vertical="center"/>
    </xf>
    <xf numFmtId="0" fontId="12" fillId="14" borderId="0" xfId="2" applyFont="1" applyFill="1" applyBorder="1" applyAlignment="1">
      <alignment horizontal="left" vertical="center" wrapText="1"/>
    </xf>
    <xf numFmtId="0" fontId="12" fillId="14" borderId="1" xfId="2" applyFont="1" applyFill="1" applyBorder="1" applyAlignment="1">
      <alignment horizontal="left" vertical="center" wrapText="1"/>
    </xf>
    <xf numFmtId="0" fontId="0" fillId="0" borderId="8" xfId="0" applyBorder="1" applyAlignment="1">
      <alignment horizontal="left" vertical="center" wrapText="1"/>
    </xf>
    <xf numFmtId="0" fontId="1" fillId="0" borderId="0" xfId="0" applyFont="1" applyAlignment="1">
      <alignment vertical="center"/>
    </xf>
    <xf numFmtId="0" fontId="12" fillId="0" borderId="1" xfId="2" applyFont="1" applyFill="1" applyBorder="1" applyAlignment="1">
      <alignment horizontal="left" vertical="center"/>
    </xf>
    <xf numFmtId="0" fontId="12" fillId="0" borderId="1" xfId="2" applyFont="1" applyFill="1" applyBorder="1" applyAlignment="1">
      <alignment horizontal="left" vertical="center" wrapText="1"/>
    </xf>
    <xf numFmtId="0" fontId="0" fillId="6" borderId="3" xfId="0" applyFill="1" applyBorder="1" applyAlignment="1">
      <alignment horizontal="center" vertical="center" wrapText="1"/>
    </xf>
    <xf numFmtId="0" fontId="0" fillId="6" borderId="5" xfId="0" applyFill="1" applyBorder="1" applyAlignment="1">
      <alignment horizontal="center" vertical="center" wrapText="1"/>
    </xf>
    <xf numFmtId="0" fontId="5" fillId="19" borderId="4" xfId="0" applyFont="1" applyFill="1" applyBorder="1" applyAlignment="1">
      <alignment horizontal="center" vertical="center"/>
    </xf>
    <xf numFmtId="0" fontId="0" fillId="20" borderId="4" xfId="0" applyFill="1" applyBorder="1" applyAlignment="1">
      <alignment horizontal="center" vertical="center"/>
    </xf>
    <xf numFmtId="0" fontId="5" fillId="20" borderId="4" xfId="0" applyFont="1" applyFill="1" applyBorder="1" applyAlignment="1">
      <alignment horizontal="center" vertical="center"/>
    </xf>
    <xf numFmtId="0" fontId="0" fillId="21" borderId="4" xfId="0" applyFill="1" applyBorder="1" applyAlignment="1">
      <alignment horizontal="center" vertical="center"/>
    </xf>
    <xf numFmtId="0" fontId="5" fillId="10" borderId="4" xfId="0" applyFont="1" applyFill="1" applyBorder="1" applyAlignment="1">
      <alignment horizontal="center" vertical="center"/>
    </xf>
    <xf numFmtId="0" fontId="0" fillId="21" borderId="5" xfId="0" applyFill="1" applyBorder="1" applyAlignment="1">
      <alignment horizontal="center" vertical="center"/>
    </xf>
    <xf numFmtId="0" fontId="0" fillId="20" borderId="5" xfId="0" applyFill="1" applyBorder="1" applyAlignment="1">
      <alignment horizontal="center" vertical="center"/>
    </xf>
    <xf numFmtId="0" fontId="0" fillId="22" borderId="4" xfId="0" applyFill="1" applyBorder="1" applyAlignment="1">
      <alignment horizontal="center" vertical="center"/>
    </xf>
    <xf numFmtId="0" fontId="0" fillId="22" borderId="5" xfId="0" applyFill="1" applyBorder="1" applyAlignment="1">
      <alignment horizontal="center" vertical="center"/>
    </xf>
    <xf numFmtId="0" fontId="0" fillId="23" borderId="4" xfId="0" applyFill="1" applyBorder="1" applyAlignment="1">
      <alignment horizontal="center" vertical="center"/>
    </xf>
    <xf numFmtId="0" fontId="11" fillId="15" borderId="8" xfId="0" applyFont="1" applyFill="1" applyBorder="1" applyAlignment="1">
      <alignment horizontal="center" vertical="center"/>
    </xf>
    <xf numFmtId="0" fontId="11" fillId="16" borderId="8" xfId="0" applyFont="1" applyFill="1" applyBorder="1" applyAlignment="1">
      <alignment horizontal="center" vertical="center"/>
    </xf>
    <xf numFmtId="0" fontId="11" fillId="18" borderId="8" xfId="0" applyFont="1" applyFill="1" applyBorder="1" applyAlignment="1">
      <alignment horizontal="center" vertical="center"/>
    </xf>
    <xf numFmtId="0" fontId="11" fillId="12" borderId="8" xfId="0" applyFont="1" applyFill="1" applyBorder="1" applyAlignment="1">
      <alignment horizontal="center" vertical="center"/>
    </xf>
    <xf numFmtId="0" fontId="11" fillId="17" borderId="8" xfId="0" applyFont="1" applyFill="1" applyBorder="1" applyAlignment="1">
      <alignment horizontal="center" vertical="center"/>
    </xf>
    <xf numFmtId="0" fontId="14" fillId="15" borderId="11" xfId="0" applyFont="1" applyFill="1" applyBorder="1" applyAlignment="1">
      <alignment horizontal="center" vertical="center"/>
    </xf>
    <xf numFmtId="0" fontId="16" fillId="16" borderId="11" xfId="0" applyFont="1" applyFill="1" applyBorder="1" applyAlignment="1">
      <alignment horizontal="center" vertical="center"/>
    </xf>
    <xf numFmtId="0" fontId="7" fillId="18" borderId="11" xfId="0" applyFont="1" applyFill="1" applyBorder="1" applyAlignment="1">
      <alignment horizontal="center" vertical="center"/>
    </xf>
    <xf numFmtId="0" fontId="17" fillId="17" borderId="11" xfId="0" applyFont="1" applyFill="1" applyBorder="1" applyAlignment="1">
      <alignment horizontal="center" vertical="center"/>
    </xf>
    <xf numFmtId="0" fontId="16" fillId="16" borderId="11" xfId="0" applyFont="1" applyFill="1" applyBorder="1" applyAlignment="1">
      <alignment vertical="center"/>
    </xf>
    <xf numFmtId="0" fontId="14" fillId="15" borderId="11" xfId="0" applyFont="1" applyFill="1" applyBorder="1" applyAlignment="1">
      <alignment vertical="center"/>
    </xf>
    <xf numFmtId="0" fontId="17" fillId="17" borderId="11" xfId="0" applyFont="1" applyFill="1" applyBorder="1" applyAlignment="1">
      <alignment vertical="center"/>
    </xf>
    <xf numFmtId="0" fontId="7" fillId="18" borderId="15" xfId="0" applyFont="1" applyFill="1" applyBorder="1" applyAlignment="1">
      <alignment vertical="center"/>
    </xf>
    <xf numFmtId="0" fontId="7" fillId="13" borderId="9" xfId="0" applyFont="1" applyFill="1" applyBorder="1" applyAlignment="1">
      <alignment horizontal="center" vertical="center"/>
    </xf>
    <xf numFmtId="0" fontId="14" fillId="15" borderId="12" xfId="0" applyFont="1" applyFill="1" applyBorder="1" applyAlignment="1">
      <alignment vertical="center"/>
    </xf>
    <xf numFmtId="0" fontId="20" fillId="0" borderId="0" xfId="0" applyFont="1" applyAlignment="1">
      <alignment horizontal="left" vertical="center"/>
    </xf>
    <xf numFmtId="0" fontId="20" fillId="0" borderId="0" xfId="0" applyFont="1" applyAlignment="1">
      <alignment horizontal="left" vertical="center" wrapText="1"/>
    </xf>
    <xf numFmtId="0" fontId="20" fillId="0" borderId="0" xfId="0" applyFont="1" applyFill="1" applyAlignment="1">
      <alignment horizontal="left" vertical="center"/>
    </xf>
    <xf numFmtId="0" fontId="18" fillId="4" borderId="3" xfId="0" applyFont="1" applyFill="1" applyBorder="1" applyAlignment="1">
      <alignment horizontal="left" vertical="center"/>
    </xf>
    <xf numFmtId="0" fontId="18" fillId="4" borderId="3" xfId="0" applyFont="1" applyFill="1" applyBorder="1" applyAlignment="1">
      <alignment horizontal="left" vertical="center" wrapText="1"/>
    </xf>
    <xf numFmtId="0" fontId="18" fillId="4" borderId="1" xfId="0" applyFont="1" applyFill="1" applyBorder="1" applyAlignment="1">
      <alignment horizontal="left" vertical="center"/>
    </xf>
    <xf numFmtId="0" fontId="19" fillId="0" borderId="0" xfId="0" applyFont="1" applyFill="1" applyAlignment="1">
      <alignment horizontal="left" vertical="center"/>
    </xf>
    <xf numFmtId="0" fontId="19" fillId="0" borderId="0" xfId="0" applyFont="1" applyAlignment="1">
      <alignment horizontal="left" vertical="center"/>
    </xf>
    <xf numFmtId="0" fontId="18" fillId="4" borderId="5" xfId="0" applyFont="1" applyFill="1" applyBorder="1" applyAlignment="1">
      <alignment horizontal="left" vertical="center"/>
    </xf>
    <xf numFmtId="0" fontId="18" fillId="4" borderId="5" xfId="0" applyFont="1" applyFill="1" applyBorder="1" applyAlignment="1">
      <alignment horizontal="left" vertical="center" wrapText="1"/>
    </xf>
    <xf numFmtId="0" fontId="12" fillId="0" borderId="1" xfId="2" applyFont="1" applyFill="1" applyBorder="1" applyAlignment="1" applyProtection="1">
      <alignment horizontal="left" vertical="center" wrapText="1"/>
      <protection locked="0"/>
    </xf>
    <xf numFmtId="0" fontId="15" fillId="11" borderId="1" xfId="2" applyFont="1" applyFill="1" applyBorder="1" applyAlignment="1">
      <alignment horizontal="left" vertical="center"/>
    </xf>
    <xf numFmtId="0" fontId="15" fillId="18" borderId="1" xfId="2" applyFont="1" applyFill="1" applyBorder="1" applyAlignment="1">
      <alignment horizontal="left" vertical="center"/>
    </xf>
    <xf numFmtId="49" fontId="12" fillId="14" borderId="1" xfId="2" applyNumberFormat="1" applyFont="1" applyFill="1" applyBorder="1" applyAlignment="1">
      <alignment horizontal="left" vertical="center"/>
    </xf>
    <xf numFmtId="0" fontId="12" fillId="14" borderId="1" xfId="2" applyFont="1" applyFill="1" applyBorder="1" applyAlignment="1">
      <alignment horizontal="left" vertical="center"/>
    </xf>
    <xf numFmtId="0" fontId="15" fillId="12" borderId="1" xfId="2" applyFont="1" applyFill="1" applyBorder="1" applyAlignment="1">
      <alignment horizontal="left" vertical="center"/>
    </xf>
    <xf numFmtId="0" fontId="15" fillId="15" borderId="1" xfId="2" applyFont="1" applyFill="1" applyBorder="1" applyAlignment="1">
      <alignment horizontal="left" vertical="center"/>
    </xf>
    <xf numFmtId="17" fontId="12" fillId="14" borderId="1" xfId="2" applyNumberFormat="1" applyFont="1" applyFill="1" applyBorder="1" applyAlignment="1">
      <alignment horizontal="left" vertical="center"/>
    </xf>
    <xf numFmtId="0" fontId="15" fillId="16" borderId="1" xfId="2" applyFont="1" applyFill="1" applyBorder="1" applyAlignment="1">
      <alignment horizontal="left" vertical="center"/>
    </xf>
    <xf numFmtId="0" fontId="15" fillId="9" borderId="1" xfId="2" applyFont="1" applyFill="1" applyBorder="1" applyAlignment="1">
      <alignment horizontal="left" vertical="center"/>
    </xf>
    <xf numFmtId="49" fontId="12" fillId="14" borderId="1" xfId="2" applyNumberFormat="1" applyFont="1" applyFill="1" applyBorder="1" applyAlignment="1">
      <alignment horizontal="left" vertical="center" wrapText="1"/>
    </xf>
    <xf numFmtId="17" fontId="12" fillId="14" borderId="1" xfId="2" applyNumberFormat="1" applyFont="1" applyFill="1" applyBorder="1" applyAlignment="1">
      <alignment horizontal="left" vertical="center" wrapText="1"/>
    </xf>
    <xf numFmtId="0" fontId="15" fillId="17" borderId="1" xfId="2" applyFont="1" applyFill="1" applyBorder="1" applyAlignment="1">
      <alignment horizontal="left" vertical="center"/>
    </xf>
    <xf numFmtId="0" fontId="7" fillId="13" borderId="13" xfId="0" applyFont="1" applyFill="1" applyBorder="1" applyAlignment="1">
      <alignment vertical="center"/>
    </xf>
    <xf numFmtId="0" fontId="19" fillId="0" borderId="1" xfId="0" applyFont="1" applyBorder="1" applyAlignment="1">
      <alignment horizontal="left" vertical="center"/>
    </xf>
    <xf numFmtId="0" fontId="19" fillId="0" borderId="1" xfId="0" applyFont="1" applyBorder="1" applyAlignment="1">
      <alignment horizontal="left" vertical="center" wrapText="1"/>
    </xf>
    <xf numFmtId="0" fontId="20" fillId="0" borderId="1" xfId="0" applyFont="1" applyBorder="1" applyAlignment="1">
      <alignment horizontal="left" vertical="center" wrapText="1"/>
    </xf>
    <xf numFmtId="0" fontId="20" fillId="0" borderId="1" xfId="0" applyFont="1" applyBorder="1" applyAlignment="1">
      <alignment horizontal="left" vertical="center"/>
    </xf>
    <xf numFmtId="0" fontId="20" fillId="11" borderId="1" xfId="0" applyFont="1" applyFill="1" applyBorder="1" applyAlignment="1">
      <alignment horizontal="left" vertical="center"/>
    </xf>
    <xf numFmtId="0" fontId="20" fillId="15" borderId="1" xfId="0" applyFont="1" applyFill="1" applyBorder="1" applyAlignment="1">
      <alignment horizontal="left" vertical="center"/>
    </xf>
    <xf numFmtId="0" fontId="20" fillId="17" borderId="1" xfId="0" applyFont="1" applyFill="1" applyBorder="1" applyAlignment="1">
      <alignment horizontal="left" vertical="center"/>
    </xf>
    <xf numFmtId="0" fontId="20" fillId="16" borderId="1" xfId="0" applyFont="1" applyFill="1" applyBorder="1" applyAlignment="1">
      <alignment horizontal="left" vertical="center"/>
    </xf>
    <xf numFmtId="0" fontId="20" fillId="9" borderId="1" xfId="0" applyFont="1" applyFill="1" applyBorder="1" applyAlignment="1">
      <alignment horizontal="left" vertical="center"/>
    </xf>
    <xf numFmtId="0" fontId="20" fillId="18" borderId="1" xfId="0" applyFont="1" applyFill="1" applyBorder="1" applyAlignment="1">
      <alignment horizontal="left" vertical="center"/>
    </xf>
    <xf numFmtId="0" fontId="20" fillId="12" borderId="1" xfId="0" applyFont="1" applyFill="1" applyBorder="1" applyAlignment="1">
      <alignment horizontal="left" vertical="center"/>
    </xf>
    <xf numFmtId="0" fontId="17" fillId="17" borderId="13" xfId="0" applyFont="1" applyFill="1" applyBorder="1" applyAlignment="1">
      <alignment vertical="center"/>
    </xf>
    <xf numFmtId="164" fontId="2" fillId="0" borderId="17" xfId="2" applyNumberFormat="1" applyBorder="1" applyAlignment="1">
      <alignment horizontal="center" vertical="center"/>
    </xf>
    <xf numFmtId="49" fontId="0" fillId="0" borderId="7" xfId="0" applyNumberFormat="1" applyBorder="1" applyAlignment="1">
      <alignment horizontal="center" vertical="center" wrapText="1"/>
    </xf>
    <xf numFmtId="0" fontId="10" fillId="12" borderId="18" xfId="0" applyFont="1" applyFill="1" applyBorder="1" applyAlignment="1">
      <alignment horizontal="center" vertical="center"/>
    </xf>
    <xf numFmtId="0" fontId="10" fillId="12" borderId="15" xfId="0" applyFont="1" applyFill="1" applyBorder="1" applyAlignment="1">
      <alignment horizontal="center" vertical="center"/>
    </xf>
    <xf numFmtId="0" fontId="7" fillId="18" borderId="15" xfId="0" applyFont="1" applyFill="1" applyBorder="1" applyAlignment="1">
      <alignment horizontal="center" vertical="center"/>
    </xf>
    <xf numFmtId="0" fontId="7" fillId="18" borderId="11" xfId="0" applyFont="1" applyFill="1" applyBorder="1" applyAlignment="1">
      <alignment vertical="center"/>
    </xf>
    <xf numFmtId="0" fontId="21" fillId="0" borderId="0" xfId="0" applyFont="1" applyAlignment="1">
      <alignment horizontal="left" vertical="center"/>
    </xf>
    <xf numFmtId="0" fontId="20" fillId="0" borderId="0" xfId="0" applyFont="1" applyBorder="1" applyAlignment="1">
      <alignment horizontal="left" vertical="center"/>
    </xf>
    <xf numFmtId="0" fontId="14" fillId="15" borderId="10" xfId="0" applyFont="1" applyFill="1" applyBorder="1" applyAlignment="1">
      <alignment horizontal="center" vertical="center"/>
    </xf>
    <xf numFmtId="0" fontId="14" fillId="15" borderId="12" xfId="0" applyFont="1" applyFill="1" applyBorder="1" applyAlignment="1">
      <alignment horizontal="center" vertical="center"/>
    </xf>
    <xf numFmtId="14" fontId="12" fillId="14" borderId="1" xfId="2" applyNumberFormat="1" applyFont="1" applyFill="1" applyBorder="1" applyAlignment="1">
      <alignment horizontal="left" vertical="center"/>
    </xf>
    <xf numFmtId="14" fontId="20" fillId="0" borderId="1" xfId="0" applyNumberFormat="1" applyFont="1" applyBorder="1" applyAlignment="1">
      <alignment horizontal="left" vertical="center"/>
    </xf>
    <xf numFmtId="0" fontId="1" fillId="2" borderId="6" xfId="0" applyFont="1" applyFill="1" applyBorder="1" applyAlignment="1">
      <alignment horizontal="left" vertical="center"/>
    </xf>
    <xf numFmtId="0" fontId="1" fillId="2" borderId="2" xfId="0" applyFont="1" applyFill="1" applyBorder="1" applyAlignment="1">
      <alignment horizontal="left" vertical="center"/>
    </xf>
    <xf numFmtId="0" fontId="1" fillId="2" borderId="7" xfId="0" applyFont="1" applyFill="1" applyBorder="1" applyAlignment="1">
      <alignment horizontal="left" vertical="center"/>
    </xf>
    <xf numFmtId="0" fontId="0" fillId="0" borderId="6" xfId="0" applyBorder="1" applyAlignment="1">
      <alignment horizontal="left" vertical="center" wrapText="1"/>
    </xf>
    <xf numFmtId="0" fontId="0" fillId="0" borderId="2" xfId="0" applyBorder="1" applyAlignment="1">
      <alignment horizontal="left" vertical="center" wrapText="1"/>
    </xf>
    <xf numFmtId="0" fontId="0" fillId="0" borderId="7" xfId="0" applyBorder="1" applyAlignment="1">
      <alignment horizontal="left" vertical="center" wrapText="1"/>
    </xf>
  </cellXfs>
  <cellStyles count="3">
    <cellStyle name="Normal" xfId="0" builtinId="0"/>
    <cellStyle name="Normal 2" xfId="2"/>
    <cellStyle name="Normal 3" xfId="1"/>
  </cellStyles>
  <dxfs count="3">
    <dxf>
      <font>
        <color rgb="FF9C0006"/>
      </font>
      <fill>
        <patternFill>
          <bgColor rgb="FFFFC7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2"/>
      <tableStyleElement type="headerRow" dxfId="1"/>
    </tableStyle>
  </tableStyles>
  <colors>
    <mruColors>
      <color rgb="FFFF99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calcChain" Target="calcChain.xml"/><Relationship Id="rId5" Type="http://schemas.openxmlformats.org/officeDocument/2006/relationships/externalLink" Target="externalLinks/externalLink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4C599241-6926-101B-9992-00000B65C6F9}" ax:persistence="persistStreamInit" r:id="rId1"/>
</file>

<file path=xl/activeX/activeX2.xml><?xml version="1.0" encoding="utf-8"?>
<ax:ocx xmlns:ax="http://schemas.microsoft.com/office/2006/activeX" xmlns:r="http://schemas.openxmlformats.org/officeDocument/2006/relationships" ax:classid="{4C599241-6926-101B-9992-00000B65C6F9}" ax:persistence="persistStreamInit" r:id="rId1"/>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2362200</xdr:colOff>
          <xdr:row>9</xdr:row>
          <xdr:rowOff>198120</xdr:rowOff>
        </xdr:from>
        <xdr:to>
          <xdr:col>11</xdr:col>
          <xdr:colOff>60960</xdr:colOff>
          <xdr:row>14</xdr:row>
          <xdr:rowOff>327660</xdr:rowOff>
        </xdr:to>
        <xdr:sp macro="" textlink="">
          <xdr:nvSpPr>
            <xdr:cNvPr id="4097" name="Image1"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137160</xdr:colOff>
          <xdr:row>2</xdr:row>
          <xdr:rowOff>182880</xdr:rowOff>
        </xdr:from>
        <xdr:to>
          <xdr:col>23</xdr:col>
          <xdr:colOff>525780</xdr:colOff>
          <xdr:row>4</xdr:row>
          <xdr:rowOff>60960</xdr:rowOff>
        </xdr:to>
        <xdr:sp macro="" textlink="">
          <xdr:nvSpPr>
            <xdr:cNvPr id="3118" name="Button 46" hidden="1">
              <a:extLst>
                <a:ext uri="{63B3BB69-23CF-44E3-9099-C40C66FF867C}">
                  <a14:compatExt spid="_x0000_s3118"/>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AU" sz="2000" b="0" i="0" u="none" strike="noStrike" baseline="0">
                  <a:solidFill>
                    <a:srgbClr val="000000"/>
                  </a:solidFill>
                  <a:latin typeface="Calibri"/>
                </a:rPr>
                <a:t>Update Risks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1905000</xdr:colOff>
          <xdr:row>13</xdr:row>
          <xdr:rowOff>281940</xdr:rowOff>
        </xdr:from>
        <xdr:to>
          <xdr:col>9</xdr:col>
          <xdr:colOff>1181100</xdr:colOff>
          <xdr:row>15</xdr:row>
          <xdr:rowOff>685800</xdr:rowOff>
        </xdr:to>
        <xdr:sp macro="" textlink="">
          <xdr:nvSpPr>
            <xdr:cNvPr id="3119" name="Image1" hidden="1">
              <a:extLst>
                <a:ext uri="{63B3BB69-23CF-44E3-9099-C40C66FF867C}">
                  <a14:compatExt spid="_x0000_s31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2017-July-Lamesa2-Risk%20management.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Rizal-Risk-tool_newRevA.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71\12459\Tech\Risk%20Assessment-RHDHV\Archives\Final%20Draft%20Report\Appendix%20D%20Generic%20Risk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skprofile"/>
      <sheetName val="Riskregister"/>
      <sheetName val="Definition"/>
      <sheetName val="DataFields"/>
    </sheetNames>
    <sheetDataSet>
      <sheetData sheetId="0">
        <row r="6">
          <cell r="I6">
            <v>8</v>
          </cell>
        </row>
        <row r="7">
          <cell r="I7">
            <v>4</v>
          </cell>
        </row>
        <row r="8">
          <cell r="I8">
            <v>17</v>
          </cell>
        </row>
        <row r="9">
          <cell r="I9">
            <v>5</v>
          </cell>
        </row>
        <row r="10">
          <cell r="I10">
            <v>8</v>
          </cell>
        </row>
        <row r="11">
          <cell r="I11">
            <v>7</v>
          </cell>
        </row>
        <row r="12">
          <cell r="I12">
            <v>8</v>
          </cell>
        </row>
        <row r="13">
          <cell r="I13">
            <v>9</v>
          </cell>
        </row>
        <row r="14">
          <cell r="I14">
            <v>4</v>
          </cell>
        </row>
        <row r="15">
          <cell r="I15">
            <v>12</v>
          </cell>
        </row>
        <row r="16">
          <cell r="I16">
            <v>16</v>
          </cell>
        </row>
        <row r="17">
          <cell r="I17">
            <v>15</v>
          </cell>
        </row>
        <row r="18">
          <cell r="I18">
            <v>16</v>
          </cell>
        </row>
        <row r="19">
          <cell r="I19">
            <v>7</v>
          </cell>
        </row>
        <row r="20">
          <cell r="I20">
            <v>2</v>
          </cell>
        </row>
        <row r="21">
          <cell r="I21">
            <v>6</v>
          </cell>
        </row>
        <row r="22">
          <cell r="I22">
            <v>2</v>
          </cell>
        </row>
        <row r="23">
          <cell r="I23">
            <v>2</v>
          </cell>
        </row>
        <row r="24">
          <cell r="I24">
            <v>2</v>
          </cell>
        </row>
        <row r="25">
          <cell r="I25">
            <v>2</v>
          </cell>
        </row>
        <row r="26">
          <cell r="I26">
            <v>2</v>
          </cell>
        </row>
        <row r="27">
          <cell r="I27">
            <v>6</v>
          </cell>
        </row>
        <row r="28">
          <cell r="I28">
            <v>6</v>
          </cell>
        </row>
        <row r="29">
          <cell r="I29">
            <v>15</v>
          </cell>
        </row>
        <row r="30">
          <cell r="I30">
            <v>15</v>
          </cell>
        </row>
        <row r="31">
          <cell r="I31">
            <v>5</v>
          </cell>
        </row>
        <row r="32">
          <cell r="I32">
            <v>1</v>
          </cell>
        </row>
        <row r="33">
          <cell r="I33">
            <v>5</v>
          </cell>
        </row>
        <row r="34">
          <cell r="I34">
            <v>5</v>
          </cell>
        </row>
        <row r="35">
          <cell r="I35">
            <v>2</v>
          </cell>
        </row>
        <row r="36">
          <cell r="I36">
            <v>2</v>
          </cell>
        </row>
        <row r="37">
          <cell r="I37">
            <v>12</v>
          </cell>
        </row>
        <row r="38">
          <cell r="I38">
            <v>12</v>
          </cell>
        </row>
        <row r="39">
          <cell r="I39">
            <v>21</v>
          </cell>
        </row>
        <row r="40">
          <cell r="I40">
            <v>6</v>
          </cell>
        </row>
        <row r="41">
          <cell r="I41">
            <v>9</v>
          </cell>
        </row>
        <row r="42">
          <cell r="I42">
            <v>16</v>
          </cell>
        </row>
        <row r="43">
          <cell r="I43">
            <v>12</v>
          </cell>
        </row>
        <row r="44">
          <cell r="I44">
            <v>12</v>
          </cell>
        </row>
        <row r="45">
          <cell r="I45">
            <v>17</v>
          </cell>
        </row>
        <row r="46">
          <cell r="I46">
            <v>17</v>
          </cell>
        </row>
        <row r="47">
          <cell r="I47">
            <v>16</v>
          </cell>
        </row>
        <row r="48">
          <cell r="I48">
            <v>5</v>
          </cell>
        </row>
        <row r="49">
          <cell r="I49">
            <v>16</v>
          </cell>
        </row>
        <row r="50">
          <cell r="I50">
            <v>12</v>
          </cell>
        </row>
        <row r="51">
          <cell r="I51">
            <v>12</v>
          </cell>
        </row>
        <row r="52">
          <cell r="I52">
            <v>23</v>
          </cell>
        </row>
        <row r="53">
          <cell r="I53">
            <v>12</v>
          </cell>
        </row>
        <row r="54">
          <cell r="I54">
            <v>24</v>
          </cell>
        </row>
        <row r="55">
          <cell r="I55">
            <v>17</v>
          </cell>
        </row>
        <row r="56">
          <cell r="I56">
            <v>23</v>
          </cell>
        </row>
        <row r="57">
          <cell r="I57">
            <v>24</v>
          </cell>
        </row>
        <row r="58">
          <cell r="I58">
            <v>12</v>
          </cell>
        </row>
        <row r="59">
          <cell r="I59">
            <v>12</v>
          </cell>
        </row>
        <row r="60">
          <cell r="I60">
            <v>17</v>
          </cell>
        </row>
        <row r="61">
          <cell r="I61">
            <v>12</v>
          </cell>
        </row>
        <row r="62">
          <cell r="I62">
            <v>12</v>
          </cell>
        </row>
        <row r="63">
          <cell r="I63">
            <v>17</v>
          </cell>
        </row>
        <row r="64">
          <cell r="I64">
            <v>11</v>
          </cell>
        </row>
        <row r="65">
          <cell r="I65">
            <v>21</v>
          </cell>
        </row>
        <row r="66">
          <cell r="I66">
            <v>17</v>
          </cell>
        </row>
        <row r="67">
          <cell r="I67">
            <v>5</v>
          </cell>
        </row>
        <row r="68">
          <cell r="I68">
            <v>21</v>
          </cell>
        </row>
        <row r="69">
          <cell r="I69">
            <v>17</v>
          </cell>
        </row>
        <row r="70">
          <cell r="I70">
            <v>21</v>
          </cell>
        </row>
        <row r="71">
          <cell r="I71">
            <v>21</v>
          </cell>
        </row>
        <row r="72">
          <cell r="I72">
            <v>21</v>
          </cell>
        </row>
        <row r="73">
          <cell r="I73">
            <v>23</v>
          </cell>
        </row>
        <row r="74">
          <cell r="I74">
            <v>17</v>
          </cell>
        </row>
        <row r="75">
          <cell r="I75">
            <v>6</v>
          </cell>
        </row>
        <row r="76">
          <cell r="I76">
            <v>5</v>
          </cell>
        </row>
        <row r="77">
          <cell r="I77">
            <v>6</v>
          </cell>
        </row>
        <row r="78">
          <cell r="I78">
            <v>12</v>
          </cell>
        </row>
        <row r="79">
          <cell r="I79">
            <v>17</v>
          </cell>
        </row>
        <row r="80">
          <cell r="I80">
            <v>11</v>
          </cell>
        </row>
        <row r="81">
          <cell r="I81">
            <v>21</v>
          </cell>
        </row>
        <row r="82">
          <cell r="I82">
            <v>12</v>
          </cell>
        </row>
        <row r="83">
          <cell r="I83">
            <v>12</v>
          </cell>
        </row>
        <row r="84">
          <cell r="I84">
            <v>5</v>
          </cell>
        </row>
        <row r="85">
          <cell r="I85">
            <v>11</v>
          </cell>
        </row>
        <row r="86">
          <cell r="I86">
            <v>11</v>
          </cell>
        </row>
        <row r="87">
          <cell r="I87">
            <v>11</v>
          </cell>
        </row>
        <row r="88">
          <cell r="I88">
            <v>11</v>
          </cell>
        </row>
        <row r="89">
          <cell r="I89">
            <v>11</v>
          </cell>
        </row>
        <row r="90">
          <cell r="I90">
            <v>1</v>
          </cell>
        </row>
        <row r="91">
          <cell r="I91">
            <v>2</v>
          </cell>
        </row>
        <row r="92">
          <cell r="I92">
            <v>10</v>
          </cell>
        </row>
        <row r="93">
          <cell r="I93">
            <v>6</v>
          </cell>
        </row>
        <row r="94">
          <cell r="I94">
            <v>11</v>
          </cell>
        </row>
        <row r="95">
          <cell r="I95">
            <v>12</v>
          </cell>
        </row>
        <row r="96">
          <cell r="I96">
            <v>11</v>
          </cell>
        </row>
        <row r="97">
          <cell r="I97">
            <v>1</v>
          </cell>
        </row>
        <row r="98">
          <cell r="I98">
            <v>21</v>
          </cell>
        </row>
        <row r="99">
          <cell r="I99">
            <v>10</v>
          </cell>
        </row>
        <row r="100">
          <cell r="I100">
            <v>21</v>
          </cell>
        </row>
        <row r="101">
          <cell r="I101">
            <v>9</v>
          </cell>
        </row>
        <row r="102">
          <cell r="I102">
            <v>5</v>
          </cell>
        </row>
        <row r="103">
          <cell r="I103">
            <v>11</v>
          </cell>
        </row>
        <row r="104">
          <cell r="I104">
            <v>5</v>
          </cell>
        </row>
        <row r="105">
          <cell r="I105">
            <v>1</v>
          </cell>
        </row>
        <row r="106">
          <cell r="I106">
            <v>6</v>
          </cell>
        </row>
        <row r="107">
          <cell r="I107">
            <v>6</v>
          </cell>
        </row>
        <row r="108">
          <cell r="I108">
            <v>5</v>
          </cell>
        </row>
        <row r="109">
          <cell r="I109">
            <v>11</v>
          </cell>
        </row>
        <row r="110">
          <cell r="I110">
            <v>5</v>
          </cell>
        </row>
        <row r="111">
          <cell r="I111">
            <v>6</v>
          </cell>
        </row>
        <row r="112">
          <cell r="I112">
            <v>6</v>
          </cell>
        </row>
        <row r="113">
          <cell r="I113">
            <v>6</v>
          </cell>
        </row>
        <row r="114">
          <cell r="I114">
            <v>5</v>
          </cell>
        </row>
        <row r="115">
          <cell r="I115">
            <v>5</v>
          </cell>
        </row>
        <row r="116">
          <cell r="I116">
            <v>6</v>
          </cell>
        </row>
        <row r="117">
          <cell r="I117">
            <v>6</v>
          </cell>
        </row>
        <row r="118">
          <cell r="I118">
            <v>6</v>
          </cell>
        </row>
        <row r="119">
          <cell r="I119">
            <v>16</v>
          </cell>
        </row>
        <row r="120">
          <cell r="I120">
            <v>6</v>
          </cell>
        </row>
        <row r="121">
          <cell r="I121">
            <v>5</v>
          </cell>
        </row>
        <row r="122">
          <cell r="I122">
            <v>6</v>
          </cell>
        </row>
      </sheetData>
      <sheetData sheetId="1"/>
      <sheetData sheetId="2"/>
      <sheetData sheetId="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Fields"/>
      <sheetName val="Definition"/>
    </sheetNames>
    <sheetDataSet>
      <sheetData sheetId="0" refreshError="1"/>
      <sheetData sheetId="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References"/>
      <sheetName val="What-If Generic from Group  1"/>
      <sheetName val="What-If Specific items"/>
      <sheetName val="What-If Generic Risks"/>
      <sheetName val="What-If Generic selection WEN"/>
      <sheetName val="What-If Specific"/>
      <sheetName val="What-If Specific 2"/>
      <sheetName val="Risk Matrix Test"/>
      <sheetName val="Help"/>
    </sheetNames>
    <sheetDataSet>
      <sheetData sheetId="0"/>
      <sheetData sheetId="1"/>
      <sheetData sheetId="2"/>
      <sheetData sheetId="3"/>
      <sheetData sheetId="4"/>
      <sheetData sheetId="5"/>
      <sheetData sheetId="6"/>
      <sheetData sheetId="7"/>
      <sheetData sheetId="8"/>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J122"/>
  <sheetViews>
    <sheetView tabSelected="1" view="pageLayout" zoomScale="25" zoomScaleNormal="55" zoomScalePageLayoutView="25" workbookViewId="0">
      <selection activeCell="U12" sqref="U12"/>
    </sheetView>
  </sheetViews>
  <sheetFormatPr defaultColWidth="9.109375" defaultRowHeight="14.4" x14ac:dyDescent="0.3"/>
  <cols>
    <col min="1" max="2" width="9.109375" style="22"/>
    <col min="3" max="3" width="21" style="22" customWidth="1"/>
    <col min="4" max="4" width="56.88671875" style="55" customWidth="1"/>
    <col min="5" max="5" width="59.5546875" style="55" customWidth="1"/>
    <col min="6" max="6" width="12.33203125" style="22" customWidth="1"/>
    <col min="7" max="7" width="10.33203125" style="22" customWidth="1"/>
    <col min="8" max="8" width="12" style="22" bestFit="1" customWidth="1"/>
    <col min="9" max="9" width="12" style="22" customWidth="1"/>
    <col min="10" max="34" width="3.6640625" style="22" customWidth="1"/>
    <col min="35" max="35" width="31.44140625" style="55" customWidth="1"/>
    <col min="36" max="36" width="16" style="22" bestFit="1" customWidth="1"/>
    <col min="37" max="16384" width="9.109375" style="22"/>
  </cols>
  <sheetData>
    <row r="1" spans="1:36" x14ac:dyDescent="0.3">
      <c r="A1" s="73" t="s">
        <v>93</v>
      </c>
    </row>
    <row r="2" spans="1:36" x14ac:dyDescent="0.3">
      <c r="A2" s="22" t="s">
        <v>509</v>
      </c>
    </row>
    <row r="4" spans="1:36" x14ac:dyDescent="0.3">
      <c r="A4" s="40" t="s">
        <v>26</v>
      </c>
      <c r="B4" s="40" t="str">
        <f>Riskregister!B4</f>
        <v>Team</v>
      </c>
      <c r="C4" s="37" t="str">
        <f>Riskregister!C4</f>
        <v>Risk Category</v>
      </c>
      <c r="D4" s="56" t="str">
        <f>Riskregister!D4</f>
        <v>Brief descriptor</v>
      </c>
      <c r="E4" s="56" t="str">
        <f>Riskregister!F4</f>
        <v>Potential Consequence</v>
      </c>
      <c r="F4" s="36" t="s">
        <v>71</v>
      </c>
      <c r="G4" s="36"/>
      <c r="H4" s="36"/>
      <c r="I4" s="36"/>
      <c r="J4" s="36" t="s">
        <v>73</v>
      </c>
      <c r="K4" s="36"/>
      <c r="L4" s="36"/>
      <c r="M4" s="36"/>
      <c r="N4" s="36"/>
      <c r="O4" s="36"/>
      <c r="P4" s="36"/>
      <c r="Q4" s="36"/>
      <c r="R4" s="36"/>
      <c r="S4" s="36"/>
      <c r="T4" s="36"/>
      <c r="U4" s="36"/>
      <c r="V4" s="36"/>
      <c r="W4" s="36"/>
      <c r="X4" s="36"/>
      <c r="Y4" s="36"/>
      <c r="Z4" s="36"/>
      <c r="AA4" s="36"/>
      <c r="AB4" s="36"/>
      <c r="AC4" s="36"/>
      <c r="AD4" s="36"/>
      <c r="AE4" s="36"/>
      <c r="AF4" s="36"/>
      <c r="AG4" s="36"/>
      <c r="AH4" s="36"/>
      <c r="AI4" s="76" t="s">
        <v>71</v>
      </c>
      <c r="AJ4" s="76" t="s">
        <v>505</v>
      </c>
    </row>
    <row r="5" spans="1:36" x14ac:dyDescent="0.3">
      <c r="A5" s="41"/>
      <c r="B5" s="41"/>
      <c r="C5" s="38"/>
      <c r="D5" s="57"/>
      <c r="E5" s="57"/>
      <c r="F5" s="39" t="s">
        <v>38</v>
      </c>
      <c r="G5" s="39" t="s">
        <v>36</v>
      </c>
      <c r="H5" s="39" t="s">
        <v>32</v>
      </c>
      <c r="I5" s="35" t="s">
        <v>70</v>
      </c>
      <c r="J5" s="39">
        <v>1</v>
      </c>
      <c r="K5" s="39">
        <v>2</v>
      </c>
      <c r="L5" s="39">
        <v>3</v>
      </c>
      <c r="M5" s="39">
        <v>4</v>
      </c>
      <c r="N5" s="39">
        <v>5</v>
      </c>
      <c r="O5" s="39">
        <v>6</v>
      </c>
      <c r="P5" s="39">
        <v>7</v>
      </c>
      <c r="Q5" s="39">
        <v>8</v>
      </c>
      <c r="R5" s="39">
        <v>9</v>
      </c>
      <c r="S5" s="39">
        <v>10</v>
      </c>
      <c r="T5" s="39">
        <v>11</v>
      </c>
      <c r="U5" s="39">
        <v>12</v>
      </c>
      <c r="V5" s="39">
        <v>13</v>
      </c>
      <c r="W5" s="39">
        <v>14</v>
      </c>
      <c r="X5" s="39">
        <v>15</v>
      </c>
      <c r="Y5" s="39">
        <v>16</v>
      </c>
      <c r="Z5" s="39">
        <v>17</v>
      </c>
      <c r="AA5" s="39">
        <v>18</v>
      </c>
      <c r="AB5" s="39">
        <v>19</v>
      </c>
      <c r="AC5" s="39">
        <v>20</v>
      </c>
      <c r="AD5" s="39">
        <v>21</v>
      </c>
      <c r="AE5" s="39">
        <v>22</v>
      </c>
      <c r="AF5" s="39">
        <v>23</v>
      </c>
      <c r="AG5" s="39">
        <v>24</v>
      </c>
      <c r="AH5" s="39">
        <v>25</v>
      </c>
      <c r="AI5" s="77" t="s">
        <v>72</v>
      </c>
      <c r="AJ5" s="77"/>
    </row>
    <row r="6" spans="1:36" x14ac:dyDescent="0.3">
      <c r="A6" s="23">
        <f>Riskregister!A6</f>
        <v>1</v>
      </c>
      <c r="B6" s="23" t="str">
        <f>Riskregister!B6</f>
        <v>A</v>
      </c>
      <c r="C6" s="58" t="str">
        <f>Riskregister!C6</f>
        <v>Approvals</v>
      </c>
      <c r="D6" s="72" t="str">
        <f>Riskregister!D6</f>
        <v>Difficulty in application for the Building Permit at LGU</v>
      </c>
      <c r="E6" s="72" t="str">
        <f>Riskregister!F6</f>
        <v>Resulting in - project delay</v>
      </c>
      <c r="F6" s="91">
        <f>Riskregister!T6</f>
        <v>8</v>
      </c>
      <c r="G6" s="91">
        <f>Riskregister!M6</f>
        <v>8</v>
      </c>
      <c r="H6" s="88">
        <f>Riskregister!I6</f>
        <v>25</v>
      </c>
      <c r="I6" s="139">
        <f>[1]Riskprofile!I6</f>
        <v>8</v>
      </c>
      <c r="J6" s="141">
        <v>30</v>
      </c>
      <c r="K6" s="49">
        <v>30</v>
      </c>
      <c r="L6" s="49">
        <v>30</v>
      </c>
      <c r="M6" s="49">
        <v>30</v>
      </c>
      <c r="N6" s="49">
        <v>30</v>
      </c>
      <c r="O6" s="49">
        <v>30</v>
      </c>
      <c r="P6" s="49">
        <v>30</v>
      </c>
      <c r="Q6" s="49">
        <v>8</v>
      </c>
      <c r="R6" s="101">
        <v>50</v>
      </c>
      <c r="S6" s="101">
        <v>50</v>
      </c>
      <c r="T6" s="101">
        <v>50</v>
      </c>
      <c r="U6" s="101">
        <v>50</v>
      </c>
      <c r="V6" s="101">
        <v>50</v>
      </c>
      <c r="W6" s="101">
        <v>50</v>
      </c>
      <c r="X6" s="101">
        <v>50</v>
      </c>
      <c r="Y6" s="101">
        <v>50</v>
      </c>
      <c r="Z6" s="101">
        <v>50</v>
      </c>
      <c r="AA6" s="101">
        <v>50</v>
      </c>
      <c r="AB6" s="101">
        <v>50</v>
      </c>
      <c r="AC6" s="101">
        <v>50</v>
      </c>
      <c r="AD6" s="101">
        <v>50</v>
      </c>
      <c r="AE6" s="101">
        <v>50</v>
      </c>
      <c r="AF6" s="101">
        <v>50</v>
      </c>
      <c r="AG6" s="101">
        <v>50</v>
      </c>
      <c r="AH6" s="147">
        <v>25</v>
      </c>
      <c r="AI6" s="140" t="str">
        <f>Riskregister!O6</f>
        <v>Not yet decided</v>
      </c>
      <c r="AJ6" s="8">
        <f>Riskregister!Q6</f>
        <v>0</v>
      </c>
    </row>
    <row r="7" spans="1:36" x14ac:dyDescent="0.3">
      <c r="A7" s="23">
        <f>Riskregister!A7</f>
        <v>2</v>
      </c>
      <c r="B7" s="23" t="str">
        <f>Riskregister!B7</f>
        <v>A</v>
      </c>
      <c r="C7" s="58" t="str">
        <f>Riskregister!C7</f>
        <v>Approvals</v>
      </c>
      <c r="D7" s="72" t="str">
        <f>Riskregister!D7</f>
        <v>Approval for the cutting/balling of trees (if applicable)</v>
      </c>
      <c r="E7" s="72" t="str">
        <f>Riskregister!F7</f>
        <v>Resulting in - project delay, change in design</v>
      </c>
      <c r="F7" s="53">
        <f>Riskregister!T7</f>
        <v>4</v>
      </c>
      <c r="G7" s="53">
        <f>Riskregister!M7</f>
        <v>4</v>
      </c>
      <c r="H7" s="88">
        <f>Riskregister!I7</f>
        <v>23</v>
      </c>
      <c r="I7" s="139">
        <f>[1]Riskprofile!I7</f>
        <v>4</v>
      </c>
      <c r="J7" s="142">
        <v>30</v>
      </c>
      <c r="K7" s="50">
        <v>30</v>
      </c>
      <c r="L7" s="50">
        <v>30</v>
      </c>
      <c r="M7" s="46">
        <v>4</v>
      </c>
      <c r="N7" s="52">
        <v>50</v>
      </c>
      <c r="O7" s="52">
        <v>50</v>
      </c>
      <c r="P7" s="52">
        <v>50</v>
      </c>
      <c r="Q7" s="52">
        <v>50</v>
      </c>
      <c r="R7" s="52">
        <v>50</v>
      </c>
      <c r="S7" s="52">
        <v>50</v>
      </c>
      <c r="T7" s="52">
        <v>50</v>
      </c>
      <c r="U7" s="52">
        <v>50</v>
      </c>
      <c r="V7" s="52">
        <v>50</v>
      </c>
      <c r="W7" s="52">
        <v>50</v>
      </c>
      <c r="X7" s="52">
        <v>50</v>
      </c>
      <c r="Y7" s="52">
        <v>50</v>
      </c>
      <c r="Z7" s="52">
        <v>50</v>
      </c>
      <c r="AA7" s="52">
        <v>50</v>
      </c>
      <c r="AB7" s="52">
        <v>50</v>
      </c>
      <c r="AC7" s="52">
        <v>50</v>
      </c>
      <c r="AD7" s="52">
        <v>50</v>
      </c>
      <c r="AE7" s="52">
        <v>50</v>
      </c>
      <c r="AF7" s="93">
        <v>23</v>
      </c>
      <c r="AG7" s="50">
        <v>60</v>
      </c>
      <c r="AH7" s="51">
        <v>60</v>
      </c>
      <c r="AI7" s="140" t="str">
        <f>Riskregister!O7</f>
        <v>Not yet decided</v>
      </c>
      <c r="AJ7" s="8">
        <f>Riskregister!Q7</f>
        <v>0</v>
      </c>
    </row>
    <row r="8" spans="1:36" ht="66" customHeight="1" x14ac:dyDescent="0.3">
      <c r="A8" s="23">
        <f>Riskregister!A8</f>
        <v>3</v>
      </c>
      <c r="B8" s="23" t="str">
        <f>Riskregister!B8</f>
        <v>A</v>
      </c>
      <c r="C8" s="58" t="str">
        <f>Riskregister!C8</f>
        <v>Approvals</v>
      </c>
      <c r="D8" s="72" t="str">
        <f>Riskregister!D8</f>
        <v>Government opposes vegetation clearance or other environmental issues.</v>
      </c>
      <c r="E8" s="72" t="str">
        <f>Riskregister!F8</f>
        <v>Resulting in - Re-work, possible environmental impacts (for supply &amp; user), and prosecutions. Additional workscope for government consultation. New work chains to rectify the problems.</v>
      </c>
      <c r="F8" s="53">
        <f>Riskregister!T8</f>
        <v>6</v>
      </c>
      <c r="G8" s="92">
        <f>Riskregister!M8</f>
        <v>17</v>
      </c>
      <c r="H8" s="92">
        <f>Riskregister!I8</f>
        <v>17</v>
      </c>
      <c r="I8" s="139">
        <f>[1]Riskprofile!I8</f>
        <v>17</v>
      </c>
      <c r="J8" s="142">
        <v>30</v>
      </c>
      <c r="K8" s="50">
        <v>30</v>
      </c>
      <c r="L8" s="50">
        <v>30</v>
      </c>
      <c r="M8" s="50">
        <v>30</v>
      </c>
      <c r="N8" s="50">
        <v>30</v>
      </c>
      <c r="O8" s="46">
        <v>6</v>
      </c>
      <c r="P8" s="44">
        <v>40</v>
      </c>
      <c r="Q8" s="44">
        <v>40</v>
      </c>
      <c r="R8" s="44">
        <v>40</v>
      </c>
      <c r="S8" s="44">
        <v>40</v>
      </c>
      <c r="T8" s="44">
        <v>40</v>
      </c>
      <c r="U8" s="44">
        <v>40</v>
      </c>
      <c r="V8" s="44">
        <v>40</v>
      </c>
      <c r="W8" s="44">
        <v>40</v>
      </c>
      <c r="X8" s="44">
        <v>40</v>
      </c>
      <c r="Y8" s="44">
        <v>40</v>
      </c>
      <c r="Z8" s="96">
        <v>17</v>
      </c>
      <c r="AA8" s="50">
        <v>60</v>
      </c>
      <c r="AB8" s="50">
        <v>60</v>
      </c>
      <c r="AC8" s="50">
        <v>60</v>
      </c>
      <c r="AD8" s="50">
        <v>60</v>
      </c>
      <c r="AE8" s="50">
        <v>60</v>
      </c>
      <c r="AF8" s="50">
        <v>60</v>
      </c>
      <c r="AG8" s="50">
        <v>60</v>
      </c>
      <c r="AH8" s="51">
        <v>60</v>
      </c>
      <c r="AI8" s="140" t="str">
        <f>Riskregister!O8</f>
        <v>Not yet decided</v>
      </c>
      <c r="AJ8" s="8">
        <f>Riskregister!Q8</f>
        <v>0</v>
      </c>
    </row>
    <row r="9" spans="1:36" ht="28.8" x14ac:dyDescent="0.3">
      <c r="A9" s="23">
        <f>Riskregister!A9</f>
        <v>4</v>
      </c>
      <c r="B9" s="23" t="str">
        <f>Riskregister!B9</f>
        <v>A</v>
      </c>
      <c r="C9" s="58" t="str">
        <f>Riskregister!C9</f>
        <v>Approvals</v>
      </c>
      <c r="D9" s="72" t="str">
        <f>Riskregister!D9</f>
        <v>Difficulty obtaining ROW access for transportation of equipment, construction materials, etc in nearby communities</v>
      </c>
      <c r="E9" s="72" t="str">
        <f>Riskregister!F9</f>
        <v>Resulting in - project delay</v>
      </c>
      <c r="F9" s="90">
        <f>Riskregister!T9</f>
        <v>3</v>
      </c>
      <c r="G9" s="53">
        <f>Riskregister!M9</f>
        <v>5</v>
      </c>
      <c r="H9" s="53">
        <f>Riskregister!I9</f>
        <v>5</v>
      </c>
      <c r="I9" s="139">
        <f>[1]Riskprofile!I9</f>
        <v>5</v>
      </c>
      <c r="J9" s="142">
        <v>30</v>
      </c>
      <c r="K9" s="50">
        <v>30</v>
      </c>
      <c r="L9" s="95">
        <v>3</v>
      </c>
      <c r="M9" s="44">
        <v>40</v>
      </c>
      <c r="N9" s="46">
        <v>5</v>
      </c>
      <c r="O9" s="50">
        <v>60</v>
      </c>
      <c r="P9" s="50">
        <v>60</v>
      </c>
      <c r="Q9" s="50">
        <v>60</v>
      </c>
      <c r="R9" s="50">
        <v>60</v>
      </c>
      <c r="S9" s="50">
        <v>60</v>
      </c>
      <c r="T9" s="50">
        <v>60</v>
      </c>
      <c r="U9" s="50">
        <v>60</v>
      </c>
      <c r="V9" s="50">
        <v>60</v>
      </c>
      <c r="W9" s="50">
        <v>60</v>
      </c>
      <c r="X9" s="50">
        <v>60</v>
      </c>
      <c r="Y9" s="50">
        <v>60</v>
      </c>
      <c r="Z9" s="50">
        <v>60</v>
      </c>
      <c r="AA9" s="50">
        <v>60</v>
      </c>
      <c r="AB9" s="50">
        <v>60</v>
      </c>
      <c r="AC9" s="50">
        <v>60</v>
      </c>
      <c r="AD9" s="50">
        <v>60</v>
      </c>
      <c r="AE9" s="50">
        <v>60</v>
      </c>
      <c r="AF9" s="50">
        <v>60</v>
      </c>
      <c r="AG9" s="50">
        <v>60</v>
      </c>
      <c r="AH9" s="51">
        <v>60</v>
      </c>
      <c r="AI9" s="140" t="str">
        <f>Riskregister!O9</f>
        <v>Robin</v>
      </c>
      <c r="AJ9" s="8">
        <f>Riskregister!Q9</f>
        <v>0</v>
      </c>
    </row>
    <row r="10" spans="1:36" ht="28.8" x14ac:dyDescent="0.3">
      <c r="A10" s="23">
        <f>Riskregister!A10</f>
        <v>5</v>
      </c>
      <c r="B10" s="23" t="str">
        <f>Riskregister!B10</f>
        <v>A</v>
      </c>
      <c r="C10" s="58" t="str">
        <f>Riskregister!C10</f>
        <v>Approvals</v>
      </c>
      <c r="D10" s="72" t="str">
        <f>Riskregister!D10</f>
        <v>Difficulty obtaining approval for the schedule of water interruption from Water Production (LP1) and Water Network</v>
      </c>
      <c r="E10" s="72" t="str">
        <f>Riskregister!F10</f>
        <v>Resulting in - project delay, change in schedule (prioritization)</v>
      </c>
      <c r="F10" s="91">
        <f>Riskregister!T10</f>
        <v>8</v>
      </c>
      <c r="G10" s="91">
        <f>Riskregister!M10</f>
        <v>8</v>
      </c>
      <c r="H10" s="88">
        <f>Riskregister!I10</f>
        <v>22</v>
      </c>
      <c r="I10" s="139">
        <f>[1]Riskprofile!I10</f>
        <v>8</v>
      </c>
      <c r="J10" s="142">
        <v>30</v>
      </c>
      <c r="K10" s="50">
        <v>30</v>
      </c>
      <c r="L10" s="50">
        <v>30</v>
      </c>
      <c r="M10" s="50">
        <v>30</v>
      </c>
      <c r="N10" s="50">
        <v>30</v>
      </c>
      <c r="O10" s="50">
        <v>30</v>
      </c>
      <c r="P10" s="50">
        <v>30</v>
      </c>
      <c r="Q10" s="50">
        <v>8</v>
      </c>
      <c r="R10" s="52">
        <v>50</v>
      </c>
      <c r="S10" s="52">
        <v>50</v>
      </c>
      <c r="T10" s="52">
        <v>50</v>
      </c>
      <c r="U10" s="52">
        <v>50</v>
      </c>
      <c r="V10" s="52">
        <v>50</v>
      </c>
      <c r="W10" s="52">
        <v>50</v>
      </c>
      <c r="X10" s="52">
        <v>50</v>
      </c>
      <c r="Y10" s="52">
        <v>50</v>
      </c>
      <c r="Z10" s="52">
        <v>50</v>
      </c>
      <c r="AA10" s="52">
        <v>50</v>
      </c>
      <c r="AB10" s="52">
        <v>50</v>
      </c>
      <c r="AC10" s="52">
        <v>50</v>
      </c>
      <c r="AD10" s="52">
        <v>50</v>
      </c>
      <c r="AE10" s="93">
        <v>22</v>
      </c>
      <c r="AF10" s="50">
        <v>60</v>
      </c>
      <c r="AG10" s="50">
        <v>60</v>
      </c>
      <c r="AH10" s="51">
        <v>60</v>
      </c>
      <c r="AI10" s="140" t="str">
        <f>Riskregister!O10</f>
        <v>Robin</v>
      </c>
      <c r="AJ10" s="8">
        <f>Riskregister!Q10</f>
        <v>0</v>
      </c>
    </row>
    <row r="11" spans="1:36" x14ac:dyDescent="0.3">
      <c r="A11" s="23">
        <f>Riskregister!A11</f>
        <v>6</v>
      </c>
      <c r="B11" s="23" t="str">
        <f>Riskregister!B11</f>
        <v>A</v>
      </c>
      <c r="C11" s="58" t="str">
        <f>Riskregister!C11</f>
        <v>Approvals</v>
      </c>
      <c r="D11" s="72" t="str">
        <f>Riskregister!D11</f>
        <v>Additional approvals required i.e. detailed design work, process, etc</v>
      </c>
      <c r="E11" s="72" t="str">
        <f>Riskregister!F11</f>
        <v>Resulting in - project delay, re-work</v>
      </c>
      <c r="F11" s="91">
        <f>Riskregister!T11</f>
        <v>7</v>
      </c>
      <c r="G11" s="91">
        <f>Riskregister!M11</f>
        <v>7</v>
      </c>
      <c r="H11" s="91">
        <f>Riskregister!I11</f>
        <v>7</v>
      </c>
      <c r="I11" s="139">
        <f>[1]Riskprofile!I11</f>
        <v>7</v>
      </c>
      <c r="J11" s="142">
        <v>30</v>
      </c>
      <c r="K11" s="50">
        <v>30</v>
      </c>
      <c r="L11" s="50">
        <v>30</v>
      </c>
      <c r="M11" s="50">
        <v>30</v>
      </c>
      <c r="N11" s="50">
        <v>30</v>
      </c>
      <c r="O11" s="50">
        <v>30</v>
      </c>
      <c r="P11" s="50">
        <v>7</v>
      </c>
      <c r="Q11" s="50">
        <v>60</v>
      </c>
      <c r="R11" s="50">
        <v>60</v>
      </c>
      <c r="S11" s="50">
        <v>60</v>
      </c>
      <c r="T11" s="50">
        <v>60</v>
      </c>
      <c r="U11" s="50">
        <v>60</v>
      </c>
      <c r="V11" s="50">
        <v>60</v>
      </c>
      <c r="W11" s="50">
        <v>60</v>
      </c>
      <c r="X11" s="50">
        <v>60</v>
      </c>
      <c r="Y11" s="50">
        <v>60</v>
      </c>
      <c r="Z11" s="50">
        <v>60</v>
      </c>
      <c r="AA11" s="50">
        <v>60</v>
      </c>
      <c r="AB11" s="50">
        <v>60</v>
      </c>
      <c r="AC11" s="50">
        <v>60</v>
      </c>
      <c r="AD11" s="50">
        <v>60</v>
      </c>
      <c r="AE11" s="50">
        <v>60</v>
      </c>
      <c r="AF11" s="50">
        <v>60</v>
      </c>
      <c r="AG11" s="50">
        <v>60</v>
      </c>
      <c r="AH11" s="51">
        <v>60</v>
      </c>
      <c r="AI11" s="140" t="str">
        <f>Riskregister!O11</f>
        <v>Edison</v>
      </c>
      <c r="AJ11" s="8">
        <f>Riskregister!Q11</f>
        <v>0</v>
      </c>
    </row>
    <row r="12" spans="1:36" ht="43.2" x14ac:dyDescent="0.3">
      <c r="A12" s="23">
        <f>Riskregister!A12</f>
        <v>7</v>
      </c>
      <c r="B12" s="23" t="str">
        <f>Riskregister!B12</f>
        <v>A</v>
      </c>
      <c r="C12" s="58" t="str">
        <f>Riskregister!C12</f>
        <v>Approvals</v>
      </c>
      <c r="D12" s="72" t="str">
        <f>Riskregister!D12</f>
        <v>Approval to MWSS Regulatory Office and Maynilad CorpCom during water interruption which excedes the normal duration of interruption of 3 hours</v>
      </c>
      <c r="E12" s="72" t="str">
        <f>Riskregister!F12</f>
        <v>Resulting in - project delay</v>
      </c>
      <c r="F12" s="91">
        <f>Riskregister!T12</f>
        <v>8</v>
      </c>
      <c r="G12" s="91">
        <f>Riskregister!M12</f>
        <v>8</v>
      </c>
      <c r="H12" s="88">
        <f>Riskregister!I12</f>
        <v>22</v>
      </c>
      <c r="I12" s="139">
        <f>[1]Riskprofile!I12</f>
        <v>8</v>
      </c>
      <c r="J12" s="142">
        <v>30</v>
      </c>
      <c r="K12" s="50">
        <v>30</v>
      </c>
      <c r="L12" s="50">
        <v>30</v>
      </c>
      <c r="M12" s="50">
        <v>30</v>
      </c>
      <c r="N12" s="50">
        <v>30</v>
      </c>
      <c r="O12" s="50">
        <v>30</v>
      </c>
      <c r="P12" s="50">
        <v>30</v>
      </c>
      <c r="Q12" s="50">
        <v>8</v>
      </c>
      <c r="R12" s="52">
        <v>50</v>
      </c>
      <c r="S12" s="52">
        <v>50</v>
      </c>
      <c r="T12" s="52">
        <v>50</v>
      </c>
      <c r="U12" s="52">
        <v>50</v>
      </c>
      <c r="V12" s="52">
        <v>50</v>
      </c>
      <c r="W12" s="52">
        <v>50</v>
      </c>
      <c r="X12" s="52">
        <v>50</v>
      </c>
      <c r="Y12" s="52">
        <v>50</v>
      </c>
      <c r="Z12" s="52">
        <v>50</v>
      </c>
      <c r="AA12" s="52">
        <v>50</v>
      </c>
      <c r="AB12" s="52">
        <v>50</v>
      </c>
      <c r="AC12" s="52">
        <v>50</v>
      </c>
      <c r="AD12" s="52">
        <v>50</v>
      </c>
      <c r="AE12" s="93">
        <v>22</v>
      </c>
      <c r="AF12" s="50">
        <v>60</v>
      </c>
      <c r="AG12" s="50">
        <v>60</v>
      </c>
      <c r="AH12" s="51">
        <v>60</v>
      </c>
      <c r="AI12" s="140" t="str">
        <f>Riskregister!O12</f>
        <v>Robin</v>
      </c>
      <c r="AJ12" s="8">
        <f>Riskregister!Q12</f>
        <v>0</v>
      </c>
    </row>
    <row r="13" spans="1:36" ht="61.8" customHeight="1" x14ac:dyDescent="0.3">
      <c r="A13" s="23">
        <f>Riskregister!A13</f>
        <v>8</v>
      </c>
      <c r="B13" s="23" t="str">
        <f>Riskregister!B13</f>
        <v>A</v>
      </c>
      <c r="C13" s="58" t="str">
        <f>Riskregister!C13</f>
        <v>Approvals</v>
      </c>
      <c r="D13" s="72" t="str">
        <f>Riskregister!D13</f>
        <v>Delay in approval of work activity from the Construction Team due to dependies of approval of working drawings, work methodology, etc from PMD Engineering for the Building Permit</v>
      </c>
      <c r="E13" s="72" t="str">
        <f>Riskregister!F13</f>
        <v>Resulting in - project delay</v>
      </c>
      <c r="F13" s="53">
        <f>Riskregister!T13</f>
        <v>6</v>
      </c>
      <c r="G13" s="91">
        <f>Riskregister!M13</f>
        <v>9</v>
      </c>
      <c r="H13" s="91">
        <f>Riskregister!I13</f>
        <v>9</v>
      </c>
      <c r="I13" s="139">
        <f>[1]Riskprofile!I13</f>
        <v>9</v>
      </c>
      <c r="J13" s="142">
        <v>30</v>
      </c>
      <c r="K13" s="50">
        <v>30</v>
      </c>
      <c r="L13" s="50">
        <v>30</v>
      </c>
      <c r="M13" s="50">
        <v>30</v>
      </c>
      <c r="N13" s="50">
        <v>30</v>
      </c>
      <c r="O13" s="46">
        <v>6</v>
      </c>
      <c r="P13" s="44">
        <v>40</v>
      </c>
      <c r="Q13" s="44">
        <v>40</v>
      </c>
      <c r="R13" s="50">
        <v>9</v>
      </c>
      <c r="S13" s="50">
        <v>60</v>
      </c>
      <c r="T13" s="50">
        <v>60</v>
      </c>
      <c r="U13" s="50">
        <v>60</v>
      </c>
      <c r="V13" s="50">
        <v>60</v>
      </c>
      <c r="W13" s="50">
        <v>60</v>
      </c>
      <c r="X13" s="50">
        <v>60</v>
      </c>
      <c r="Y13" s="50">
        <v>60</v>
      </c>
      <c r="Z13" s="50">
        <v>60</v>
      </c>
      <c r="AA13" s="50">
        <v>60</v>
      </c>
      <c r="AB13" s="50">
        <v>60</v>
      </c>
      <c r="AC13" s="50">
        <v>60</v>
      </c>
      <c r="AD13" s="50">
        <v>60</v>
      </c>
      <c r="AE13" s="50">
        <v>60</v>
      </c>
      <c r="AF13" s="50">
        <v>60</v>
      </c>
      <c r="AG13" s="50">
        <v>60</v>
      </c>
      <c r="AH13" s="51">
        <v>60</v>
      </c>
      <c r="AI13" s="140" t="str">
        <f>Riskregister!O13</f>
        <v>Robin</v>
      </c>
      <c r="AJ13" s="8">
        <f>Riskregister!Q13</f>
        <v>0</v>
      </c>
    </row>
    <row r="14" spans="1:36" x14ac:dyDescent="0.3">
      <c r="A14" s="23">
        <f>Riskregister!A14</f>
        <v>9</v>
      </c>
      <c r="B14" s="23" t="str">
        <f>Riskregister!B14</f>
        <v>A</v>
      </c>
      <c r="C14" s="58" t="str">
        <f>Riskregister!C14</f>
        <v>Approvals</v>
      </c>
      <c r="D14" s="72" t="str">
        <f>Riskregister!D14</f>
        <v>Non compliance of contractor to safety requirements of Maynilad</v>
      </c>
      <c r="E14" s="72" t="str">
        <f>Riskregister!F14</f>
        <v>Resulting in - project delay</v>
      </c>
      <c r="F14" s="53">
        <f>Riskregister!T14</f>
        <v>4</v>
      </c>
      <c r="G14" s="53">
        <f>Riskregister!M14</f>
        <v>4</v>
      </c>
      <c r="H14" s="88">
        <f>Riskregister!I14</f>
        <v>23</v>
      </c>
      <c r="I14" s="139">
        <f>[1]Riskprofile!I14</f>
        <v>4</v>
      </c>
      <c r="J14" s="142">
        <v>30</v>
      </c>
      <c r="K14" s="50">
        <v>30</v>
      </c>
      <c r="L14" s="50">
        <v>30</v>
      </c>
      <c r="M14" s="46">
        <v>4</v>
      </c>
      <c r="N14" s="52">
        <v>50</v>
      </c>
      <c r="O14" s="52">
        <v>50</v>
      </c>
      <c r="P14" s="52">
        <v>50</v>
      </c>
      <c r="Q14" s="52">
        <v>50</v>
      </c>
      <c r="R14" s="52">
        <v>50</v>
      </c>
      <c r="S14" s="52">
        <v>50</v>
      </c>
      <c r="T14" s="52">
        <v>50</v>
      </c>
      <c r="U14" s="52">
        <v>50</v>
      </c>
      <c r="V14" s="52">
        <v>50</v>
      </c>
      <c r="W14" s="52">
        <v>50</v>
      </c>
      <c r="X14" s="52">
        <v>50</v>
      </c>
      <c r="Y14" s="52">
        <v>50</v>
      </c>
      <c r="Z14" s="52">
        <v>50</v>
      </c>
      <c r="AA14" s="52">
        <v>50</v>
      </c>
      <c r="AB14" s="52">
        <v>50</v>
      </c>
      <c r="AC14" s="52">
        <v>50</v>
      </c>
      <c r="AD14" s="52">
        <v>50</v>
      </c>
      <c r="AE14" s="52">
        <v>50</v>
      </c>
      <c r="AF14" s="93">
        <v>23</v>
      </c>
      <c r="AG14" s="50">
        <v>60</v>
      </c>
      <c r="AH14" s="51">
        <v>60</v>
      </c>
      <c r="AI14" s="140" t="str">
        <f>Riskregister!O14</f>
        <v>Contractor</v>
      </c>
      <c r="AJ14" s="8">
        <f>Riskregister!Q14</f>
        <v>0</v>
      </c>
    </row>
    <row r="15" spans="1:36" ht="28.8" x14ac:dyDescent="0.3">
      <c r="A15" s="23">
        <f>Riskregister!A15</f>
        <v>10</v>
      </c>
      <c r="B15" s="23" t="str">
        <f>Riskregister!B15</f>
        <v>A</v>
      </c>
      <c r="C15" s="58" t="str">
        <f>Riskregister!C15</f>
        <v>Approvals</v>
      </c>
      <c r="D15" s="72" t="str">
        <f>Riskregister!D15</f>
        <v>Delay in approval of project schedule and work methodology from PMD and Water Production</v>
      </c>
      <c r="E15" s="72" t="str">
        <f>Riskregister!F15</f>
        <v>Resulting in - project delay</v>
      </c>
      <c r="F15" s="89">
        <f>Riskregister!T15</f>
        <v>11</v>
      </c>
      <c r="G15" s="89">
        <f>Riskregister!M15</f>
        <v>12</v>
      </c>
      <c r="H15" s="89">
        <f>Riskregister!I15</f>
        <v>12</v>
      </c>
      <c r="I15" s="139">
        <f>[1]Riskprofile!I15</f>
        <v>12</v>
      </c>
      <c r="J15" s="142">
        <v>30</v>
      </c>
      <c r="K15" s="50">
        <v>30</v>
      </c>
      <c r="L15" s="50">
        <v>30</v>
      </c>
      <c r="M15" s="50">
        <v>30</v>
      </c>
      <c r="N15" s="50">
        <v>30</v>
      </c>
      <c r="O15" s="50">
        <v>30</v>
      </c>
      <c r="P15" s="50">
        <v>30</v>
      </c>
      <c r="Q15" s="50">
        <v>30</v>
      </c>
      <c r="R15" s="50">
        <v>30</v>
      </c>
      <c r="S15" s="50">
        <v>30</v>
      </c>
      <c r="T15" s="94">
        <v>11</v>
      </c>
      <c r="U15" s="94">
        <v>12</v>
      </c>
      <c r="V15" s="50">
        <v>60</v>
      </c>
      <c r="W15" s="50">
        <v>60</v>
      </c>
      <c r="X15" s="50">
        <v>60</v>
      </c>
      <c r="Y15" s="50">
        <v>60</v>
      </c>
      <c r="Z15" s="50">
        <v>60</v>
      </c>
      <c r="AA15" s="50">
        <v>60</v>
      </c>
      <c r="AB15" s="50">
        <v>60</v>
      </c>
      <c r="AC15" s="50">
        <v>60</v>
      </c>
      <c r="AD15" s="50">
        <v>60</v>
      </c>
      <c r="AE15" s="50">
        <v>60</v>
      </c>
      <c r="AF15" s="50">
        <v>60</v>
      </c>
      <c r="AG15" s="50">
        <v>60</v>
      </c>
      <c r="AH15" s="51">
        <v>60</v>
      </c>
      <c r="AI15" s="140" t="str">
        <f>Riskregister!O15</f>
        <v>Robin</v>
      </c>
      <c r="AJ15" s="8">
        <f>Riskregister!Q15</f>
        <v>0</v>
      </c>
    </row>
    <row r="16" spans="1:36" ht="28.8" x14ac:dyDescent="0.3">
      <c r="A16" s="23">
        <f>Riskregister!A16</f>
        <v>11</v>
      </c>
      <c r="B16" s="23" t="str">
        <f>Riskregister!B16</f>
        <v>A</v>
      </c>
      <c r="C16" s="58" t="str">
        <f>Riskregister!C16</f>
        <v>Planning, scoping</v>
      </c>
      <c r="D16" s="72" t="str">
        <f>Riskregister!D16</f>
        <v xml:space="preserve">No coordination done with the LP1 regarding the reduction of the plant production </v>
      </c>
      <c r="E16" s="72" t="str">
        <f>Riskregister!F16</f>
        <v>Resulting in - reduction of supply from Bagbag Reservoir</v>
      </c>
      <c r="F16" s="53">
        <f>Riskregister!T16</f>
        <v>6</v>
      </c>
      <c r="G16" s="92">
        <f>Riskregister!M16</f>
        <v>16</v>
      </c>
      <c r="H16" s="92">
        <f>Riskregister!I16</f>
        <v>16</v>
      </c>
      <c r="I16" s="139">
        <f>[1]Riskprofile!I16</f>
        <v>16</v>
      </c>
      <c r="J16" s="142">
        <v>30</v>
      </c>
      <c r="K16" s="50">
        <v>30</v>
      </c>
      <c r="L16" s="50">
        <v>30</v>
      </c>
      <c r="M16" s="50">
        <v>30</v>
      </c>
      <c r="N16" s="50">
        <v>30</v>
      </c>
      <c r="O16" s="46">
        <v>6</v>
      </c>
      <c r="P16" s="44">
        <v>40</v>
      </c>
      <c r="Q16" s="44">
        <v>40</v>
      </c>
      <c r="R16" s="44">
        <v>40</v>
      </c>
      <c r="S16" s="44">
        <v>40</v>
      </c>
      <c r="T16" s="44">
        <v>40</v>
      </c>
      <c r="U16" s="44">
        <v>40</v>
      </c>
      <c r="V16" s="44">
        <v>40</v>
      </c>
      <c r="W16" s="44">
        <v>40</v>
      </c>
      <c r="X16" s="44">
        <v>40</v>
      </c>
      <c r="Y16" s="96">
        <v>16</v>
      </c>
      <c r="Z16" s="50">
        <v>60</v>
      </c>
      <c r="AA16" s="50">
        <v>60</v>
      </c>
      <c r="AB16" s="50">
        <v>60</v>
      </c>
      <c r="AC16" s="50">
        <v>60</v>
      </c>
      <c r="AD16" s="50">
        <v>60</v>
      </c>
      <c r="AE16" s="50">
        <v>60</v>
      </c>
      <c r="AF16" s="50">
        <v>60</v>
      </c>
      <c r="AG16" s="50">
        <v>60</v>
      </c>
      <c r="AH16" s="51">
        <v>60</v>
      </c>
      <c r="AI16" s="140" t="str">
        <f>Riskregister!O16</f>
        <v>Not yet decided</v>
      </c>
      <c r="AJ16" s="8">
        <f>Riskregister!Q16</f>
        <v>0</v>
      </c>
    </row>
    <row r="17" spans="1:36" x14ac:dyDescent="0.3">
      <c r="A17" s="23">
        <f>Riskregister!A17</f>
        <v>12</v>
      </c>
      <c r="B17" s="23" t="str">
        <f>Riskregister!B17</f>
        <v>A</v>
      </c>
      <c r="C17" s="58" t="str">
        <f>Riskregister!C17</f>
        <v>Planning, scoping</v>
      </c>
      <c r="D17" s="72" t="str">
        <f>Riskregister!D17</f>
        <v>No spare equipment are available</v>
      </c>
      <c r="E17" s="72" t="str">
        <f>Riskregister!F17</f>
        <v>Resulting in - re-work and project delay</v>
      </c>
      <c r="F17" s="89">
        <f>Riskregister!T17</f>
        <v>13</v>
      </c>
      <c r="G17" s="92">
        <f>Riskregister!M17</f>
        <v>15</v>
      </c>
      <c r="H17" s="92">
        <f>Riskregister!I17</f>
        <v>15</v>
      </c>
      <c r="I17" s="139">
        <f>[1]Riskprofile!I17</f>
        <v>15</v>
      </c>
      <c r="J17" s="142">
        <v>30</v>
      </c>
      <c r="K17" s="50">
        <v>30</v>
      </c>
      <c r="L17" s="50">
        <v>30</v>
      </c>
      <c r="M17" s="50">
        <v>30</v>
      </c>
      <c r="N17" s="50">
        <v>30</v>
      </c>
      <c r="O17" s="50">
        <v>30</v>
      </c>
      <c r="P17" s="50">
        <v>30</v>
      </c>
      <c r="Q17" s="50">
        <v>30</v>
      </c>
      <c r="R17" s="50">
        <v>30</v>
      </c>
      <c r="S17" s="50">
        <v>30</v>
      </c>
      <c r="T17" s="50">
        <v>30</v>
      </c>
      <c r="U17" s="50">
        <v>30</v>
      </c>
      <c r="V17" s="94">
        <v>13</v>
      </c>
      <c r="W17" s="44">
        <v>40</v>
      </c>
      <c r="X17" s="96">
        <v>15</v>
      </c>
      <c r="Y17" s="50">
        <v>60</v>
      </c>
      <c r="Z17" s="50">
        <v>60</v>
      </c>
      <c r="AA17" s="50">
        <v>60</v>
      </c>
      <c r="AB17" s="50">
        <v>60</v>
      </c>
      <c r="AC17" s="50">
        <v>60</v>
      </c>
      <c r="AD17" s="50">
        <v>60</v>
      </c>
      <c r="AE17" s="50">
        <v>60</v>
      </c>
      <c r="AF17" s="50">
        <v>60</v>
      </c>
      <c r="AG17" s="50">
        <v>60</v>
      </c>
      <c r="AH17" s="51">
        <v>60</v>
      </c>
      <c r="AI17" s="140" t="str">
        <f>Riskregister!O17</f>
        <v>Not yet decided</v>
      </c>
      <c r="AJ17" s="8">
        <f>Riskregister!Q17</f>
        <v>0</v>
      </c>
    </row>
    <row r="18" spans="1:36" ht="28.8" x14ac:dyDescent="0.3">
      <c r="A18" s="23">
        <f>Riskregister!A18</f>
        <v>13</v>
      </c>
      <c r="B18" s="23" t="str">
        <f>Riskregister!B18</f>
        <v>A</v>
      </c>
      <c r="C18" s="58" t="str">
        <f>Riskregister!C18</f>
        <v>Planning, scoping</v>
      </c>
      <c r="D18" s="72" t="str">
        <f>Riskregister!D18</f>
        <v>Difficulty in obtaining the water interruption schedule from Water Network</v>
      </c>
      <c r="E18" s="72" t="str">
        <f>Riskregister!F18</f>
        <v>Resulting in - project delay and change of schedule</v>
      </c>
      <c r="F18" s="53">
        <f>Riskregister!T18</f>
        <v>6</v>
      </c>
      <c r="G18" s="92">
        <f>Riskregister!M18</f>
        <v>16</v>
      </c>
      <c r="H18" s="92">
        <f>Riskregister!I18</f>
        <v>16</v>
      </c>
      <c r="I18" s="139">
        <f>[1]Riskprofile!I18</f>
        <v>16</v>
      </c>
      <c r="J18" s="142">
        <v>30</v>
      </c>
      <c r="K18" s="50">
        <v>30</v>
      </c>
      <c r="L18" s="50">
        <v>30</v>
      </c>
      <c r="M18" s="50">
        <v>30</v>
      </c>
      <c r="N18" s="50">
        <v>30</v>
      </c>
      <c r="O18" s="46">
        <v>6</v>
      </c>
      <c r="P18" s="44">
        <v>40</v>
      </c>
      <c r="Q18" s="44">
        <v>40</v>
      </c>
      <c r="R18" s="44">
        <v>40</v>
      </c>
      <c r="S18" s="44">
        <v>40</v>
      </c>
      <c r="T18" s="44">
        <v>40</v>
      </c>
      <c r="U18" s="44">
        <v>40</v>
      </c>
      <c r="V18" s="44">
        <v>40</v>
      </c>
      <c r="W18" s="44">
        <v>40</v>
      </c>
      <c r="X18" s="44">
        <v>40</v>
      </c>
      <c r="Y18" s="96">
        <v>16</v>
      </c>
      <c r="Z18" s="50">
        <v>60</v>
      </c>
      <c r="AA18" s="50">
        <v>60</v>
      </c>
      <c r="AB18" s="50">
        <v>60</v>
      </c>
      <c r="AC18" s="50">
        <v>60</v>
      </c>
      <c r="AD18" s="50">
        <v>60</v>
      </c>
      <c r="AE18" s="50">
        <v>60</v>
      </c>
      <c r="AF18" s="50">
        <v>60</v>
      </c>
      <c r="AG18" s="50">
        <v>60</v>
      </c>
      <c r="AH18" s="51">
        <v>60</v>
      </c>
      <c r="AI18" s="140" t="str">
        <f>Riskregister!O18</f>
        <v>Edgar</v>
      </c>
      <c r="AJ18" s="8">
        <f>Riskregister!Q18</f>
        <v>0</v>
      </c>
    </row>
    <row r="19" spans="1:36" ht="28.8" x14ac:dyDescent="0.3">
      <c r="A19" s="23">
        <f>Riskregister!A19</f>
        <v>14</v>
      </c>
      <c r="B19" s="23" t="str">
        <f>Riskregister!B19</f>
        <v>A</v>
      </c>
      <c r="C19" s="58" t="str">
        <f>Riskregister!C19</f>
        <v>Planning, scoping</v>
      </c>
      <c r="D19" s="72" t="str">
        <f>Riskregister!D19</f>
        <v>Difficulty in providing accurate as-built drawings</v>
      </c>
      <c r="E19" s="72" t="str">
        <f>Riskregister!F19</f>
        <v xml:space="preserve"> + Affect the preparation of bidders during the bidding stage
 + change in design in later phase.</v>
      </c>
      <c r="F19" s="90">
        <f>Riskregister!T19</f>
        <v>2</v>
      </c>
      <c r="G19" s="53">
        <f>Riskregister!M19</f>
        <v>4</v>
      </c>
      <c r="H19" s="54">
        <f>Riskregister!I19</f>
        <v>20</v>
      </c>
      <c r="I19" s="139">
        <f>[1]Riskprofile!I19</f>
        <v>7</v>
      </c>
      <c r="J19" s="142">
        <v>30</v>
      </c>
      <c r="K19" s="95">
        <v>2</v>
      </c>
      <c r="L19" s="44">
        <v>40</v>
      </c>
      <c r="M19" s="46">
        <v>4</v>
      </c>
      <c r="N19" s="52">
        <v>50</v>
      </c>
      <c r="O19" s="52">
        <v>50</v>
      </c>
      <c r="P19" s="52">
        <v>50</v>
      </c>
      <c r="Q19" s="52">
        <v>50</v>
      </c>
      <c r="R19" s="52">
        <v>50</v>
      </c>
      <c r="S19" s="52">
        <v>50</v>
      </c>
      <c r="T19" s="52">
        <v>50</v>
      </c>
      <c r="U19" s="52">
        <v>50</v>
      </c>
      <c r="V19" s="52">
        <v>50</v>
      </c>
      <c r="W19" s="52">
        <v>50</v>
      </c>
      <c r="X19" s="52">
        <v>50</v>
      </c>
      <c r="Y19" s="52">
        <v>50</v>
      </c>
      <c r="Z19" s="52">
        <v>50</v>
      </c>
      <c r="AA19" s="52">
        <v>50</v>
      </c>
      <c r="AB19" s="52">
        <v>50</v>
      </c>
      <c r="AC19" s="48">
        <v>20</v>
      </c>
      <c r="AD19" s="50">
        <v>60</v>
      </c>
      <c r="AE19" s="50">
        <v>60</v>
      </c>
      <c r="AF19" s="50">
        <v>60</v>
      </c>
      <c r="AG19" s="50">
        <v>60</v>
      </c>
      <c r="AH19" s="51">
        <v>60</v>
      </c>
      <c r="AI19" s="140" t="str">
        <f>Riskregister!O19</f>
        <v>Robin/Nam</v>
      </c>
      <c r="AJ19" s="8" t="str">
        <f>Riskregister!Q19</f>
        <v>Solved</v>
      </c>
    </row>
    <row r="20" spans="1:36" ht="43.2" x14ac:dyDescent="0.3">
      <c r="A20" s="23">
        <f>Riskregister!A20</f>
        <v>15</v>
      </c>
      <c r="B20" s="23" t="str">
        <f>Riskregister!B20</f>
        <v>A</v>
      </c>
      <c r="C20" s="58" t="str">
        <f>Riskregister!C20</f>
        <v>Planning, scoping</v>
      </c>
      <c r="D20" s="72" t="str">
        <f>Riskregister!D20</f>
        <v>Delay in providing data from the existing treatment plant (i.e. turbidity, production, water quality, list and location of equipment, etc.)</v>
      </c>
      <c r="E20" s="72" t="str">
        <f>Riskregister!F20</f>
        <v>Resulting in - re-work and project delay</v>
      </c>
      <c r="F20" s="90">
        <f>Riskregister!T20</f>
        <v>1</v>
      </c>
      <c r="G20" s="90">
        <f>Riskregister!M20</f>
        <v>2</v>
      </c>
      <c r="H20" s="90">
        <f>Riskregister!I20</f>
        <v>2</v>
      </c>
      <c r="I20" s="139">
        <f>[1]Riskprofile!I20</f>
        <v>2</v>
      </c>
      <c r="J20" s="143">
        <v>1</v>
      </c>
      <c r="K20" s="95">
        <v>2</v>
      </c>
      <c r="L20" s="50">
        <v>60</v>
      </c>
      <c r="M20" s="50">
        <v>60</v>
      </c>
      <c r="N20" s="50">
        <v>60</v>
      </c>
      <c r="O20" s="50">
        <v>60</v>
      </c>
      <c r="P20" s="50">
        <v>60</v>
      </c>
      <c r="Q20" s="50">
        <v>60</v>
      </c>
      <c r="R20" s="50">
        <v>60</v>
      </c>
      <c r="S20" s="50">
        <v>60</v>
      </c>
      <c r="T20" s="50">
        <v>60</v>
      </c>
      <c r="U20" s="50">
        <v>60</v>
      </c>
      <c r="V20" s="50">
        <v>60</v>
      </c>
      <c r="W20" s="50">
        <v>60</v>
      </c>
      <c r="X20" s="50">
        <v>60</v>
      </c>
      <c r="Y20" s="50">
        <v>60</v>
      </c>
      <c r="Z20" s="50">
        <v>60</v>
      </c>
      <c r="AA20" s="50">
        <v>60</v>
      </c>
      <c r="AB20" s="50">
        <v>60</v>
      </c>
      <c r="AC20" s="50">
        <v>60</v>
      </c>
      <c r="AD20" s="50">
        <v>60</v>
      </c>
      <c r="AE20" s="50">
        <v>60</v>
      </c>
      <c r="AF20" s="50">
        <v>60</v>
      </c>
      <c r="AG20" s="50">
        <v>60</v>
      </c>
      <c r="AH20" s="51">
        <v>60</v>
      </c>
      <c r="AI20" s="140" t="str">
        <f>Riskregister!O20</f>
        <v>Nam</v>
      </c>
      <c r="AJ20" s="8" t="str">
        <f>Riskregister!Q20</f>
        <v>Solved</v>
      </c>
    </row>
    <row r="21" spans="1:36" ht="28.8" x14ac:dyDescent="0.3">
      <c r="A21" s="23">
        <f>Riskregister!A21</f>
        <v>16</v>
      </c>
      <c r="B21" s="23" t="str">
        <f>Riskregister!B21</f>
        <v>A</v>
      </c>
      <c r="C21" s="58" t="str">
        <f>Riskregister!C21</f>
        <v>Planning, scoping</v>
      </c>
      <c r="D21" s="72" t="str">
        <f>Riskregister!D21</f>
        <v xml:space="preserve">Scope provided during preparation of bidding documents are not complete and too general </v>
      </c>
      <c r="E21" s="72" t="str">
        <f>Riskregister!F21</f>
        <v>Resulting in - rework, change in schedule and possible variation order</v>
      </c>
      <c r="F21" s="53">
        <f>Riskregister!T21</f>
        <v>5</v>
      </c>
      <c r="G21" s="53">
        <f>Riskregister!M21</f>
        <v>6</v>
      </c>
      <c r="H21" s="53">
        <f>Riskregister!I21</f>
        <v>6</v>
      </c>
      <c r="I21" s="139">
        <f>[1]Riskprofile!I21</f>
        <v>6</v>
      </c>
      <c r="J21" s="142">
        <v>30</v>
      </c>
      <c r="K21" s="50">
        <v>30</v>
      </c>
      <c r="L21" s="50">
        <v>30</v>
      </c>
      <c r="M21" s="50">
        <v>30</v>
      </c>
      <c r="N21" s="46">
        <v>5</v>
      </c>
      <c r="O21" s="46">
        <v>6</v>
      </c>
      <c r="P21" s="50">
        <v>60</v>
      </c>
      <c r="Q21" s="50">
        <v>60</v>
      </c>
      <c r="R21" s="50">
        <v>60</v>
      </c>
      <c r="S21" s="50">
        <v>60</v>
      </c>
      <c r="T21" s="50">
        <v>60</v>
      </c>
      <c r="U21" s="50">
        <v>60</v>
      </c>
      <c r="V21" s="50">
        <v>60</v>
      </c>
      <c r="W21" s="50">
        <v>60</v>
      </c>
      <c r="X21" s="50">
        <v>60</v>
      </c>
      <c r="Y21" s="50">
        <v>60</v>
      </c>
      <c r="Z21" s="50">
        <v>60</v>
      </c>
      <c r="AA21" s="50">
        <v>60</v>
      </c>
      <c r="AB21" s="50">
        <v>60</v>
      </c>
      <c r="AC21" s="50">
        <v>60</v>
      </c>
      <c r="AD21" s="50">
        <v>60</v>
      </c>
      <c r="AE21" s="50">
        <v>60</v>
      </c>
      <c r="AF21" s="50">
        <v>60</v>
      </c>
      <c r="AG21" s="50">
        <v>60</v>
      </c>
      <c r="AH21" s="51">
        <v>60</v>
      </c>
      <c r="AI21" s="140" t="str">
        <f>Riskregister!O21</f>
        <v>Nam</v>
      </c>
      <c r="AJ21" s="8" t="str">
        <f>Riskregister!Q21</f>
        <v>Ongoing</v>
      </c>
    </row>
    <row r="22" spans="1:36" ht="28.8" x14ac:dyDescent="0.3">
      <c r="A22" s="23">
        <f>Riskregister!A22</f>
        <v>17</v>
      </c>
      <c r="B22" s="23" t="str">
        <f>Riskregister!B22</f>
        <v>A</v>
      </c>
      <c r="C22" s="58" t="str">
        <f>Riskregister!C22</f>
        <v>Planning, scoping</v>
      </c>
      <c r="D22" s="72" t="str">
        <f>Riskregister!D22</f>
        <v>Conflict of scope on different projects (e.g. lagoon review or actual work with LMTP1 project)</v>
      </c>
      <c r="E22" s="72" t="str">
        <f>Riskregister!F22</f>
        <v>Resulting in - rework, change and conflicting in schedule and possible variation order</v>
      </c>
      <c r="F22" s="90">
        <f>Riskregister!T22</f>
        <v>1</v>
      </c>
      <c r="G22" s="53">
        <f>Riskregister!M22</f>
        <v>5</v>
      </c>
      <c r="H22" s="54">
        <f>Riskregister!I22</f>
        <v>21</v>
      </c>
      <c r="I22" s="139">
        <f>[1]Riskprofile!I22</f>
        <v>2</v>
      </c>
      <c r="J22" s="143">
        <v>1</v>
      </c>
      <c r="K22" s="44">
        <v>40</v>
      </c>
      <c r="L22" s="44">
        <v>40</v>
      </c>
      <c r="M22" s="44">
        <v>40</v>
      </c>
      <c r="N22" s="46">
        <v>5</v>
      </c>
      <c r="O22" s="52">
        <v>50</v>
      </c>
      <c r="P22" s="52">
        <v>50</v>
      </c>
      <c r="Q22" s="52">
        <v>50</v>
      </c>
      <c r="R22" s="52">
        <v>50</v>
      </c>
      <c r="S22" s="52">
        <v>50</v>
      </c>
      <c r="T22" s="52">
        <v>50</v>
      </c>
      <c r="U22" s="52">
        <v>50</v>
      </c>
      <c r="V22" s="52">
        <v>50</v>
      </c>
      <c r="W22" s="52">
        <v>50</v>
      </c>
      <c r="X22" s="52">
        <v>50</v>
      </c>
      <c r="Y22" s="52">
        <v>50</v>
      </c>
      <c r="Z22" s="52">
        <v>50</v>
      </c>
      <c r="AA22" s="52">
        <v>50</v>
      </c>
      <c r="AB22" s="52">
        <v>50</v>
      </c>
      <c r="AC22" s="52">
        <v>50</v>
      </c>
      <c r="AD22" s="48">
        <v>21</v>
      </c>
      <c r="AE22" s="50">
        <v>60</v>
      </c>
      <c r="AF22" s="50">
        <v>60</v>
      </c>
      <c r="AG22" s="50">
        <v>60</v>
      </c>
      <c r="AH22" s="51">
        <v>60</v>
      </c>
      <c r="AI22" s="140" t="str">
        <f>Riskregister!O22</f>
        <v>Nam/Scott</v>
      </c>
      <c r="AJ22" s="8" t="str">
        <f>Riskregister!Q22</f>
        <v>Solved</v>
      </c>
    </row>
    <row r="23" spans="1:36" x14ac:dyDescent="0.3">
      <c r="A23" s="23">
        <f>Riskregister!A23</f>
        <v>18</v>
      </c>
      <c r="B23" s="23" t="str">
        <f>Riskregister!B23</f>
        <v>A</v>
      </c>
      <c r="C23" s="58" t="str">
        <f>Riskregister!C23</f>
        <v>Planning, scoping</v>
      </c>
      <c r="D23" s="72" t="str">
        <f>Riskregister!D23</f>
        <v>Proper scheduling of procurement for the equipment</v>
      </c>
      <c r="E23" s="72" t="str">
        <f>Riskregister!F23</f>
        <v>Resulting in - project delay and change of schedule</v>
      </c>
      <c r="F23" s="90">
        <f>Riskregister!T23</f>
        <v>2</v>
      </c>
      <c r="G23" s="90">
        <f>Riskregister!M23</f>
        <v>2</v>
      </c>
      <c r="H23" s="53">
        <f>Riskregister!I23</f>
        <v>4</v>
      </c>
      <c r="I23" s="139">
        <f>[1]Riskprofile!I23</f>
        <v>2</v>
      </c>
      <c r="J23" s="142">
        <v>30</v>
      </c>
      <c r="K23" s="95">
        <v>2</v>
      </c>
      <c r="L23" s="52">
        <v>50</v>
      </c>
      <c r="M23" s="46">
        <v>4</v>
      </c>
      <c r="N23" s="50">
        <v>60</v>
      </c>
      <c r="O23" s="50">
        <v>60</v>
      </c>
      <c r="P23" s="50">
        <v>60</v>
      </c>
      <c r="Q23" s="50">
        <v>60</v>
      </c>
      <c r="R23" s="50">
        <v>60</v>
      </c>
      <c r="S23" s="50">
        <v>60</v>
      </c>
      <c r="T23" s="50">
        <v>60</v>
      </c>
      <c r="U23" s="50">
        <v>60</v>
      </c>
      <c r="V23" s="50">
        <v>60</v>
      </c>
      <c r="W23" s="50">
        <v>60</v>
      </c>
      <c r="X23" s="50">
        <v>60</v>
      </c>
      <c r="Y23" s="50">
        <v>60</v>
      </c>
      <c r="Z23" s="50">
        <v>60</v>
      </c>
      <c r="AA23" s="50">
        <v>60</v>
      </c>
      <c r="AB23" s="50">
        <v>60</v>
      </c>
      <c r="AC23" s="50">
        <v>60</v>
      </c>
      <c r="AD23" s="50">
        <v>60</v>
      </c>
      <c r="AE23" s="50">
        <v>60</v>
      </c>
      <c r="AF23" s="50">
        <v>60</v>
      </c>
      <c r="AG23" s="50">
        <v>60</v>
      </c>
      <c r="AH23" s="51">
        <v>60</v>
      </c>
      <c r="AI23" s="140" t="str">
        <f>Riskregister!O23</f>
        <v>Nam/Scott</v>
      </c>
      <c r="AJ23" s="8">
        <f>Riskregister!Q23</f>
        <v>0</v>
      </c>
    </row>
    <row r="24" spans="1:36" ht="28.8" x14ac:dyDescent="0.3">
      <c r="A24" s="23">
        <f>Riskregister!A24</f>
        <v>19</v>
      </c>
      <c r="B24" s="23" t="str">
        <f>Riskregister!B24</f>
        <v>A</v>
      </c>
      <c r="C24" s="58" t="str">
        <f>Riskregister!C24</f>
        <v>Stakeholders</v>
      </c>
      <c r="D24" s="72" t="str">
        <f>Riskregister!D24</f>
        <v>Delay of project due to conflict with other stakeholders</v>
      </c>
      <c r="E24" s="72" t="str">
        <f>Riskregister!F24</f>
        <v>Resulting in - Late design and submission,  requiring design changes re-work, additional cost and delays</v>
      </c>
      <c r="F24" s="90">
        <f>Riskregister!T24</f>
        <v>2</v>
      </c>
      <c r="G24" s="53">
        <f>Riskregister!M24</f>
        <v>4</v>
      </c>
      <c r="H24" s="53">
        <f>Riskregister!I24</f>
        <v>4</v>
      </c>
      <c r="I24" s="139">
        <f>[1]Riskprofile!I24</f>
        <v>2</v>
      </c>
      <c r="J24" s="142">
        <v>30</v>
      </c>
      <c r="K24" s="95">
        <v>2</v>
      </c>
      <c r="L24" s="44">
        <v>40</v>
      </c>
      <c r="M24" s="46">
        <v>4</v>
      </c>
      <c r="N24" s="50">
        <v>60</v>
      </c>
      <c r="O24" s="50">
        <v>60</v>
      </c>
      <c r="P24" s="50">
        <v>60</v>
      </c>
      <c r="Q24" s="50">
        <v>60</v>
      </c>
      <c r="R24" s="50">
        <v>60</v>
      </c>
      <c r="S24" s="50">
        <v>60</v>
      </c>
      <c r="T24" s="50">
        <v>60</v>
      </c>
      <c r="U24" s="50">
        <v>60</v>
      </c>
      <c r="V24" s="50">
        <v>60</v>
      </c>
      <c r="W24" s="50">
        <v>60</v>
      </c>
      <c r="X24" s="50">
        <v>60</v>
      </c>
      <c r="Y24" s="50">
        <v>60</v>
      </c>
      <c r="Z24" s="50">
        <v>60</v>
      </c>
      <c r="AA24" s="50">
        <v>60</v>
      </c>
      <c r="AB24" s="50">
        <v>60</v>
      </c>
      <c r="AC24" s="50">
        <v>60</v>
      </c>
      <c r="AD24" s="50">
        <v>60</v>
      </c>
      <c r="AE24" s="50">
        <v>60</v>
      </c>
      <c r="AF24" s="50">
        <v>60</v>
      </c>
      <c r="AG24" s="50">
        <v>60</v>
      </c>
      <c r="AH24" s="51">
        <v>60</v>
      </c>
      <c r="AI24" s="140" t="str">
        <f>Riskregister!O24</f>
        <v>Robin/Nam/Scott</v>
      </c>
      <c r="AJ24" s="8">
        <f>Riskregister!Q24</f>
        <v>0</v>
      </c>
    </row>
    <row r="25" spans="1:36" ht="28.8" x14ac:dyDescent="0.3">
      <c r="A25" s="23">
        <f>Riskregister!A25</f>
        <v>20</v>
      </c>
      <c r="B25" s="23" t="str">
        <f>Riskregister!B25</f>
        <v>A</v>
      </c>
      <c r="C25" s="58" t="str">
        <f>Riskregister!C25</f>
        <v>Stakeholders</v>
      </c>
      <c r="D25" s="72" t="str">
        <f>Riskregister!D25</f>
        <v>Lack of cooperation with key stakeholders (MWSS, Customers, PMD, WN and BA)</v>
      </c>
      <c r="E25" s="72" t="str">
        <f>Riskregister!F25</f>
        <v>Resulting in delays, poor performance and potential to fully meet Master Plan objectives</v>
      </c>
      <c r="F25" s="90">
        <f>Riskregister!T25</f>
        <v>2</v>
      </c>
      <c r="G25" s="90">
        <f>Riskregister!M25</f>
        <v>2</v>
      </c>
      <c r="H25" s="90">
        <f>Riskregister!I25</f>
        <v>2</v>
      </c>
      <c r="I25" s="139">
        <f>[1]Riskprofile!I25</f>
        <v>2</v>
      </c>
      <c r="J25" s="142">
        <v>30</v>
      </c>
      <c r="K25" s="95">
        <v>2</v>
      </c>
      <c r="L25" s="50">
        <v>60</v>
      </c>
      <c r="M25" s="50">
        <v>60</v>
      </c>
      <c r="N25" s="50">
        <v>60</v>
      </c>
      <c r="O25" s="50">
        <v>60</v>
      </c>
      <c r="P25" s="50">
        <v>60</v>
      </c>
      <c r="Q25" s="50">
        <v>60</v>
      </c>
      <c r="R25" s="50">
        <v>60</v>
      </c>
      <c r="S25" s="50">
        <v>60</v>
      </c>
      <c r="T25" s="50">
        <v>60</v>
      </c>
      <c r="U25" s="50">
        <v>60</v>
      </c>
      <c r="V25" s="50">
        <v>60</v>
      </c>
      <c r="W25" s="50">
        <v>60</v>
      </c>
      <c r="X25" s="50">
        <v>60</v>
      </c>
      <c r="Y25" s="50">
        <v>60</v>
      </c>
      <c r="Z25" s="50">
        <v>60</v>
      </c>
      <c r="AA25" s="50">
        <v>60</v>
      </c>
      <c r="AB25" s="50">
        <v>60</v>
      </c>
      <c r="AC25" s="50">
        <v>60</v>
      </c>
      <c r="AD25" s="50">
        <v>60</v>
      </c>
      <c r="AE25" s="50">
        <v>60</v>
      </c>
      <c r="AF25" s="50">
        <v>60</v>
      </c>
      <c r="AG25" s="50">
        <v>60</v>
      </c>
      <c r="AH25" s="51">
        <v>60</v>
      </c>
      <c r="AI25" s="140" t="str">
        <f>Riskregister!O25</f>
        <v>Robin/Nam/Scott</v>
      </c>
      <c r="AJ25" s="8" t="str">
        <f>Riskregister!Q25</f>
        <v>Ongoing</v>
      </c>
    </row>
    <row r="26" spans="1:36" ht="43.2" x14ac:dyDescent="0.3">
      <c r="A26" s="23">
        <f>Riskregister!A26</f>
        <v>21</v>
      </c>
      <c r="B26" s="23" t="str">
        <f>Riskregister!B26</f>
        <v>A</v>
      </c>
      <c r="C26" s="58" t="str">
        <f>Riskregister!C26</f>
        <v>Stakeholders</v>
      </c>
      <c r="D26" s="72" t="str">
        <f>Riskregister!D26</f>
        <v>Difficulty in proper coordination with the Legal and CQESH Department for the complete compliance of legal and technical requirements</v>
      </c>
      <c r="E26" s="72" t="str">
        <f>Riskregister!F26</f>
        <v>Resulting in project delay</v>
      </c>
      <c r="F26" s="90">
        <f>Riskregister!T26</f>
        <v>2</v>
      </c>
      <c r="G26" s="90">
        <f>Riskregister!M26</f>
        <v>2</v>
      </c>
      <c r="H26" s="90">
        <f>Riskregister!I26</f>
        <v>2</v>
      </c>
      <c r="I26" s="139">
        <f>[1]Riskprofile!I26</f>
        <v>2</v>
      </c>
      <c r="J26" s="142">
        <v>30</v>
      </c>
      <c r="K26" s="95">
        <v>2</v>
      </c>
      <c r="L26" s="50">
        <v>60</v>
      </c>
      <c r="M26" s="50">
        <v>60</v>
      </c>
      <c r="N26" s="50">
        <v>60</v>
      </c>
      <c r="O26" s="50">
        <v>60</v>
      </c>
      <c r="P26" s="50">
        <v>60</v>
      </c>
      <c r="Q26" s="50">
        <v>60</v>
      </c>
      <c r="R26" s="50">
        <v>60</v>
      </c>
      <c r="S26" s="50">
        <v>60</v>
      </c>
      <c r="T26" s="50">
        <v>60</v>
      </c>
      <c r="U26" s="50">
        <v>60</v>
      </c>
      <c r="V26" s="50">
        <v>60</v>
      </c>
      <c r="W26" s="50">
        <v>60</v>
      </c>
      <c r="X26" s="50">
        <v>60</v>
      </c>
      <c r="Y26" s="50">
        <v>60</v>
      </c>
      <c r="Z26" s="50">
        <v>60</v>
      </c>
      <c r="AA26" s="50">
        <v>60</v>
      </c>
      <c r="AB26" s="50">
        <v>60</v>
      </c>
      <c r="AC26" s="50">
        <v>60</v>
      </c>
      <c r="AD26" s="50">
        <v>60</v>
      </c>
      <c r="AE26" s="50">
        <v>60</v>
      </c>
      <c r="AF26" s="50">
        <v>60</v>
      </c>
      <c r="AG26" s="50">
        <v>60</v>
      </c>
      <c r="AH26" s="51">
        <v>60</v>
      </c>
      <c r="AI26" s="140" t="str">
        <f>Riskregister!O26</f>
        <v>Robin/Nam/Scott</v>
      </c>
      <c r="AJ26" s="8">
        <f>Riskregister!Q26</f>
        <v>0</v>
      </c>
    </row>
    <row r="27" spans="1:36" ht="28.8" x14ac:dyDescent="0.3">
      <c r="A27" s="23">
        <f>Riskregister!A27</f>
        <v>22</v>
      </c>
      <c r="B27" s="23" t="str">
        <f>Riskregister!B27</f>
        <v>B</v>
      </c>
      <c r="C27" s="58" t="str">
        <f>Riskregister!C27</f>
        <v xml:space="preserve">Commissioning </v>
      </c>
      <c r="D27" s="72" t="str">
        <f>Riskregister!D27</f>
        <v>Commissioning delayed due to operational constraints or unscheduled disruptions</v>
      </c>
      <c r="E27" s="72" t="str">
        <f>Riskregister!F27</f>
        <v>Extended disruptions beyond scheduled construction period. Increased costs.</v>
      </c>
      <c r="F27" s="53">
        <f>Riskregister!T27</f>
        <v>6</v>
      </c>
      <c r="G27" s="53">
        <f>Riskregister!M27</f>
        <v>6</v>
      </c>
      <c r="H27" s="92">
        <f>Riskregister!I27</f>
        <v>16</v>
      </c>
      <c r="I27" s="139">
        <f>[1]Riskprofile!I27</f>
        <v>6</v>
      </c>
      <c r="J27" s="142">
        <v>30</v>
      </c>
      <c r="K27" s="50">
        <v>30</v>
      </c>
      <c r="L27" s="50">
        <v>30</v>
      </c>
      <c r="M27" s="50">
        <v>30</v>
      </c>
      <c r="N27" s="50">
        <v>30</v>
      </c>
      <c r="O27" s="46">
        <v>6</v>
      </c>
      <c r="P27" s="52">
        <v>50</v>
      </c>
      <c r="Q27" s="52">
        <v>50</v>
      </c>
      <c r="R27" s="52">
        <v>50</v>
      </c>
      <c r="S27" s="52">
        <v>50</v>
      </c>
      <c r="T27" s="52">
        <v>50</v>
      </c>
      <c r="U27" s="52">
        <v>50</v>
      </c>
      <c r="V27" s="52">
        <v>50</v>
      </c>
      <c r="W27" s="52">
        <v>50</v>
      </c>
      <c r="X27" s="52">
        <v>50</v>
      </c>
      <c r="Y27" s="96">
        <v>16</v>
      </c>
      <c r="Z27" s="50">
        <v>60</v>
      </c>
      <c r="AA27" s="50">
        <v>60</v>
      </c>
      <c r="AB27" s="50">
        <v>60</v>
      </c>
      <c r="AC27" s="50">
        <v>60</v>
      </c>
      <c r="AD27" s="50">
        <v>60</v>
      </c>
      <c r="AE27" s="50">
        <v>60</v>
      </c>
      <c r="AF27" s="50">
        <v>60</v>
      </c>
      <c r="AG27" s="50">
        <v>60</v>
      </c>
      <c r="AH27" s="51">
        <v>60</v>
      </c>
      <c r="AI27" s="140" t="str">
        <f>Riskregister!O27</f>
        <v>Not yet decided</v>
      </c>
      <c r="AJ27" s="8">
        <f>Riskregister!Q27</f>
        <v>0</v>
      </c>
    </row>
    <row r="28" spans="1:36" x14ac:dyDescent="0.3">
      <c r="A28" s="23">
        <f>Riskregister!A28</f>
        <v>23</v>
      </c>
      <c r="B28" s="23" t="str">
        <f>Riskregister!B28</f>
        <v>B</v>
      </c>
      <c r="C28" s="58" t="str">
        <f>Riskregister!C28</f>
        <v xml:space="preserve">Commissioning </v>
      </c>
      <c r="D28" s="72" t="str">
        <f>Riskregister!D28</f>
        <v>Equipment is found not to perform as expected</v>
      </c>
      <c r="E28" s="72" t="str">
        <f>Riskregister!F28</f>
        <v>Delay in completion. Increased costs</v>
      </c>
      <c r="F28" s="53">
        <f>Riskregister!T28</f>
        <v>6</v>
      </c>
      <c r="G28" s="53">
        <f>Riskregister!M28</f>
        <v>6</v>
      </c>
      <c r="H28" s="92">
        <f>Riskregister!I28</f>
        <v>16</v>
      </c>
      <c r="I28" s="139">
        <f>[1]Riskprofile!I28</f>
        <v>6</v>
      </c>
      <c r="J28" s="142">
        <v>30</v>
      </c>
      <c r="K28" s="50">
        <v>30</v>
      </c>
      <c r="L28" s="50">
        <v>30</v>
      </c>
      <c r="M28" s="50">
        <v>30</v>
      </c>
      <c r="N28" s="50">
        <v>30</v>
      </c>
      <c r="O28" s="46">
        <v>6</v>
      </c>
      <c r="P28" s="52">
        <v>50</v>
      </c>
      <c r="Q28" s="52">
        <v>50</v>
      </c>
      <c r="R28" s="52">
        <v>50</v>
      </c>
      <c r="S28" s="52">
        <v>50</v>
      </c>
      <c r="T28" s="52">
        <v>50</v>
      </c>
      <c r="U28" s="52">
        <v>50</v>
      </c>
      <c r="V28" s="52">
        <v>50</v>
      </c>
      <c r="W28" s="52">
        <v>50</v>
      </c>
      <c r="X28" s="52">
        <v>50</v>
      </c>
      <c r="Y28" s="96">
        <v>16</v>
      </c>
      <c r="Z28" s="50">
        <v>60</v>
      </c>
      <c r="AA28" s="50">
        <v>60</v>
      </c>
      <c r="AB28" s="50">
        <v>60</v>
      </c>
      <c r="AC28" s="50">
        <v>60</v>
      </c>
      <c r="AD28" s="50">
        <v>60</v>
      </c>
      <c r="AE28" s="50">
        <v>60</v>
      </c>
      <c r="AF28" s="50">
        <v>60</v>
      </c>
      <c r="AG28" s="50">
        <v>60</v>
      </c>
      <c r="AH28" s="51">
        <v>60</v>
      </c>
      <c r="AI28" s="140" t="str">
        <f>Riskregister!O28</f>
        <v>Not yet decided</v>
      </c>
      <c r="AJ28" s="8">
        <f>Riskregister!Q28</f>
        <v>0</v>
      </c>
    </row>
    <row r="29" spans="1:36" ht="28.8" x14ac:dyDescent="0.3">
      <c r="A29" s="23">
        <f>Riskregister!A29</f>
        <v>24</v>
      </c>
      <c r="B29" s="23" t="str">
        <f>Riskregister!B29</f>
        <v>B</v>
      </c>
      <c r="C29" s="58" t="str">
        <f>Riskregister!C29</f>
        <v xml:space="preserve">Commissioning </v>
      </c>
      <c r="D29" s="72" t="str">
        <f>Riskregister!D29</f>
        <v>Fundamental flaw in scheme, does not operate as intended on commissioning</v>
      </c>
      <c r="E29" s="72" t="str">
        <f>Riskregister!F29</f>
        <v>Delay in completion. Increased costs. Lower than expected production.</v>
      </c>
      <c r="F29" s="89">
        <f>Riskregister!T29</f>
        <v>11</v>
      </c>
      <c r="G29" s="92">
        <f>Riskregister!M29</f>
        <v>15</v>
      </c>
      <c r="H29" s="54">
        <f>Riskregister!I29</f>
        <v>21</v>
      </c>
      <c r="I29" s="139">
        <f>[1]Riskprofile!I29</f>
        <v>15</v>
      </c>
      <c r="J29" s="142">
        <v>30</v>
      </c>
      <c r="K29" s="50">
        <v>30</v>
      </c>
      <c r="L29" s="50">
        <v>30</v>
      </c>
      <c r="M29" s="50">
        <v>30</v>
      </c>
      <c r="N29" s="50">
        <v>30</v>
      </c>
      <c r="O29" s="50">
        <v>30</v>
      </c>
      <c r="P29" s="50">
        <v>30</v>
      </c>
      <c r="Q29" s="50">
        <v>30</v>
      </c>
      <c r="R29" s="50">
        <v>30</v>
      </c>
      <c r="S29" s="50">
        <v>30</v>
      </c>
      <c r="T29" s="94">
        <v>11</v>
      </c>
      <c r="U29" s="44">
        <v>40</v>
      </c>
      <c r="V29" s="44">
        <v>40</v>
      </c>
      <c r="W29" s="44">
        <v>40</v>
      </c>
      <c r="X29" s="96">
        <v>15</v>
      </c>
      <c r="Y29" s="52">
        <v>50</v>
      </c>
      <c r="Z29" s="52">
        <v>50</v>
      </c>
      <c r="AA29" s="52">
        <v>50</v>
      </c>
      <c r="AB29" s="52">
        <v>50</v>
      </c>
      <c r="AC29" s="52">
        <v>50</v>
      </c>
      <c r="AD29" s="48">
        <v>21</v>
      </c>
      <c r="AE29" s="50">
        <v>60</v>
      </c>
      <c r="AF29" s="50">
        <v>60</v>
      </c>
      <c r="AG29" s="50">
        <v>60</v>
      </c>
      <c r="AH29" s="51">
        <v>60</v>
      </c>
      <c r="AI29" s="140" t="str">
        <f>Riskregister!O29</f>
        <v>Not yet decided</v>
      </c>
      <c r="AJ29" s="8">
        <f>Riskregister!Q29</f>
        <v>0</v>
      </c>
    </row>
    <row r="30" spans="1:36" ht="43.2" x14ac:dyDescent="0.3">
      <c r="A30" s="23">
        <f>Riskregister!A30</f>
        <v>25</v>
      </c>
      <c r="B30" s="23" t="str">
        <f>Riskregister!B30</f>
        <v>B</v>
      </c>
      <c r="C30" s="58" t="str">
        <f>Riskregister!C30</f>
        <v xml:space="preserve">Commissioning </v>
      </c>
      <c r="D30" s="72" t="str">
        <f>Riskregister!D30</f>
        <v xml:space="preserve">Problems with control system (i.e. unstable, control systems do not talk across network), and problems interfacing with existing mechanical and electrical systems.  </v>
      </c>
      <c r="E30" s="72" t="str">
        <f>Riskregister!F30</f>
        <v>Delays, operational inconvenience.</v>
      </c>
      <c r="F30" s="89">
        <f>Riskregister!T30</f>
        <v>11</v>
      </c>
      <c r="G30" s="92">
        <f>Riskregister!M30</f>
        <v>15</v>
      </c>
      <c r="H30" s="54">
        <f>Riskregister!I30</f>
        <v>21</v>
      </c>
      <c r="I30" s="139">
        <f>[1]Riskprofile!I30</f>
        <v>15</v>
      </c>
      <c r="J30" s="142">
        <v>30</v>
      </c>
      <c r="K30" s="50">
        <v>30</v>
      </c>
      <c r="L30" s="50">
        <v>30</v>
      </c>
      <c r="M30" s="50">
        <v>30</v>
      </c>
      <c r="N30" s="50">
        <v>30</v>
      </c>
      <c r="O30" s="50">
        <v>30</v>
      </c>
      <c r="P30" s="50">
        <v>30</v>
      </c>
      <c r="Q30" s="50">
        <v>30</v>
      </c>
      <c r="R30" s="50">
        <v>30</v>
      </c>
      <c r="S30" s="50">
        <v>30</v>
      </c>
      <c r="T30" s="94">
        <v>11</v>
      </c>
      <c r="U30" s="44">
        <v>40</v>
      </c>
      <c r="V30" s="44">
        <v>40</v>
      </c>
      <c r="W30" s="44">
        <v>40</v>
      </c>
      <c r="X30" s="96">
        <v>15</v>
      </c>
      <c r="Y30" s="52">
        <v>50</v>
      </c>
      <c r="Z30" s="52">
        <v>50</v>
      </c>
      <c r="AA30" s="52">
        <v>50</v>
      </c>
      <c r="AB30" s="52">
        <v>50</v>
      </c>
      <c r="AC30" s="52">
        <v>50</v>
      </c>
      <c r="AD30" s="48">
        <v>21</v>
      </c>
      <c r="AE30" s="50">
        <v>60</v>
      </c>
      <c r="AF30" s="50">
        <v>60</v>
      </c>
      <c r="AG30" s="50">
        <v>60</v>
      </c>
      <c r="AH30" s="51">
        <v>60</v>
      </c>
      <c r="AI30" s="140" t="str">
        <f>Riskregister!O30</f>
        <v>Not yet decided</v>
      </c>
      <c r="AJ30" s="8">
        <f>Riskregister!Q30</f>
        <v>0</v>
      </c>
    </row>
    <row r="31" spans="1:36" ht="28.8" x14ac:dyDescent="0.3">
      <c r="A31" s="23">
        <f>Riskregister!A31</f>
        <v>26</v>
      </c>
      <c r="B31" s="23" t="str">
        <f>Riskregister!B31</f>
        <v>B</v>
      </c>
      <c r="C31" s="58" t="str">
        <f>Riskregister!C31</f>
        <v xml:space="preserve">Commissioning </v>
      </c>
      <c r="D31" s="72" t="str">
        <f>Riskregister!D31</f>
        <v>Program O&amp;M manuals do not meet expectations. O&amp;M problems discovered following commissioning</v>
      </c>
      <c r="E31" s="72" t="str">
        <f>Riskregister!F31</f>
        <v>Impaired commissioning and training of staff.</v>
      </c>
      <c r="F31" s="53">
        <f>Riskregister!T31</f>
        <v>5</v>
      </c>
      <c r="G31" s="53">
        <f>Riskregister!M31</f>
        <v>5</v>
      </c>
      <c r="H31" s="53">
        <f>Riskregister!I31</f>
        <v>6</v>
      </c>
      <c r="I31" s="139">
        <f>[1]Riskprofile!I31</f>
        <v>5</v>
      </c>
      <c r="J31" s="142">
        <v>30</v>
      </c>
      <c r="K31" s="50">
        <v>30</v>
      </c>
      <c r="L31" s="50">
        <v>30</v>
      </c>
      <c r="M31" s="50">
        <v>30</v>
      </c>
      <c r="N31" s="46">
        <v>5</v>
      </c>
      <c r="O31" s="46">
        <v>6</v>
      </c>
      <c r="P31" s="50">
        <v>60</v>
      </c>
      <c r="Q31" s="50">
        <v>60</v>
      </c>
      <c r="R31" s="50">
        <v>60</v>
      </c>
      <c r="S31" s="50">
        <v>60</v>
      </c>
      <c r="T31" s="50">
        <v>60</v>
      </c>
      <c r="U31" s="50">
        <v>60</v>
      </c>
      <c r="V31" s="50">
        <v>60</v>
      </c>
      <c r="W31" s="50">
        <v>60</v>
      </c>
      <c r="X31" s="50">
        <v>60</v>
      </c>
      <c r="Y31" s="50">
        <v>60</v>
      </c>
      <c r="Z31" s="50">
        <v>60</v>
      </c>
      <c r="AA31" s="50">
        <v>60</v>
      </c>
      <c r="AB31" s="50">
        <v>60</v>
      </c>
      <c r="AC31" s="50">
        <v>60</v>
      </c>
      <c r="AD31" s="50">
        <v>60</v>
      </c>
      <c r="AE31" s="50">
        <v>60</v>
      </c>
      <c r="AF31" s="50">
        <v>60</v>
      </c>
      <c r="AG31" s="50">
        <v>60</v>
      </c>
      <c r="AH31" s="51">
        <v>60</v>
      </c>
      <c r="AI31" s="140" t="str">
        <f>Riskregister!O31</f>
        <v>Not yet decided</v>
      </c>
      <c r="AJ31" s="8">
        <f>Riskregister!Q31</f>
        <v>0</v>
      </c>
    </row>
    <row r="32" spans="1:36" ht="28.8" x14ac:dyDescent="0.3">
      <c r="A32" s="23">
        <f>Riskregister!A32</f>
        <v>27</v>
      </c>
      <c r="B32" s="23" t="str">
        <f>Riskregister!B32</f>
        <v>B</v>
      </c>
      <c r="C32" s="58" t="str">
        <f>Riskregister!C32</f>
        <v>Detailed Design</v>
      </c>
      <c r="D32" s="72" t="str">
        <f>Riskregister!D32</f>
        <v>Boundary conditions and information on new sludge pipeline unknown</v>
      </c>
      <c r="E32" s="72" t="str">
        <f>Riskregister!F32</f>
        <v>Contractor may abuse the absence of information to promote his claims for extra time and costs.</v>
      </c>
      <c r="F32" s="90">
        <f>Riskregister!T32</f>
        <v>1</v>
      </c>
      <c r="G32" s="90">
        <f>Riskregister!M32</f>
        <v>1</v>
      </c>
      <c r="H32" s="91">
        <f>Riskregister!I32</f>
        <v>9</v>
      </c>
      <c r="I32" s="139">
        <f>[1]Riskprofile!I32</f>
        <v>1</v>
      </c>
      <c r="J32" s="143">
        <v>1</v>
      </c>
      <c r="K32" s="52">
        <v>50</v>
      </c>
      <c r="L32" s="52">
        <v>50</v>
      </c>
      <c r="M32" s="52">
        <v>50</v>
      </c>
      <c r="N32" s="52">
        <v>50</v>
      </c>
      <c r="O32" s="52">
        <v>50</v>
      </c>
      <c r="P32" s="52">
        <v>50</v>
      </c>
      <c r="Q32" s="52">
        <v>50</v>
      </c>
      <c r="R32" s="50">
        <v>9</v>
      </c>
      <c r="S32" s="50">
        <v>60</v>
      </c>
      <c r="T32" s="50">
        <v>60</v>
      </c>
      <c r="U32" s="50">
        <v>60</v>
      </c>
      <c r="V32" s="50">
        <v>60</v>
      </c>
      <c r="W32" s="50">
        <v>60</v>
      </c>
      <c r="X32" s="50">
        <v>60</v>
      </c>
      <c r="Y32" s="50">
        <v>60</v>
      </c>
      <c r="Z32" s="50">
        <v>60</v>
      </c>
      <c r="AA32" s="50">
        <v>60</v>
      </c>
      <c r="AB32" s="50">
        <v>60</v>
      </c>
      <c r="AC32" s="50">
        <v>60</v>
      </c>
      <c r="AD32" s="50">
        <v>60</v>
      </c>
      <c r="AE32" s="50">
        <v>60</v>
      </c>
      <c r="AF32" s="50">
        <v>60</v>
      </c>
      <c r="AG32" s="50">
        <v>60</v>
      </c>
      <c r="AH32" s="51">
        <v>60</v>
      </c>
      <c r="AI32" s="140" t="str">
        <f>Riskregister!O32</f>
        <v>Not yet decided</v>
      </c>
      <c r="AJ32" s="8">
        <f>Riskregister!Q32</f>
        <v>0</v>
      </c>
    </row>
    <row r="33" spans="1:36" ht="28.8" x14ac:dyDescent="0.3">
      <c r="A33" s="23">
        <f>Riskregister!A33</f>
        <v>28</v>
      </c>
      <c r="B33" s="23" t="str">
        <f>Riskregister!B33</f>
        <v>B</v>
      </c>
      <c r="C33" s="58" t="str">
        <f>Riskregister!C33</f>
        <v>Detailed Design</v>
      </c>
      <c r="D33" s="72" t="str">
        <f>Riskregister!D33</f>
        <v>Detail in Concept Design insufficient to effectively assess it and gain approval</v>
      </c>
      <c r="E33" s="72" t="str">
        <f>Riskregister!F33</f>
        <v>Many queries during tender phase. Higher contract prices.</v>
      </c>
      <c r="F33" s="53">
        <f>Riskregister!T33</f>
        <v>5</v>
      </c>
      <c r="G33" s="53">
        <f>Riskregister!M33</f>
        <v>5</v>
      </c>
      <c r="H33" s="53">
        <f>Riskregister!I33</f>
        <v>6</v>
      </c>
      <c r="I33" s="139">
        <f>[1]Riskprofile!I33</f>
        <v>5</v>
      </c>
      <c r="J33" s="142">
        <v>30</v>
      </c>
      <c r="K33" s="50">
        <v>30</v>
      </c>
      <c r="L33" s="50">
        <v>30</v>
      </c>
      <c r="M33" s="50">
        <v>30</v>
      </c>
      <c r="N33" s="46">
        <v>5</v>
      </c>
      <c r="O33" s="46">
        <v>6</v>
      </c>
      <c r="P33" s="50">
        <v>60</v>
      </c>
      <c r="Q33" s="50">
        <v>60</v>
      </c>
      <c r="R33" s="50">
        <v>60</v>
      </c>
      <c r="S33" s="50">
        <v>60</v>
      </c>
      <c r="T33" s="50">
        <v>60</v>
      </c>
      <c r="U33" s="50">
        <v>60</v>
      </c>
      <c r="V33" s="50">
        <v>60</v>
      </c>
      <c r="W33" s="50">
        <v>60</v>
      </c>
      <c r="X33" s="50">
        <v>60</v>
      </c>
      <c r="Y33" s="50">
        <v>60</v>
      </c>
      <c r="Z33" s="50">
        <v>60</v>
      </c>
      <c r="AA33" s="50">
        <v>60</v>
      </c>
      <c r="AB33" s="50">
        <v>60</v>
      </c>
      <c r="AC33" s="50">
        <v>60</v>
      </c>
      <c r="AD33" s="50">
        <v>60</v>
      </c>
      <c r="AE33" s="50">
        <v>60</v>
      </c>
      <c r="AF33" s="50">
        <v>60</v>
      </c>
      <c r="AG33" s="50">
        <v>60</v>
      </c>
      <c r="AH33" s="51">
        <v>60</v>
      </c>
      <c r="AI33" s="140" t="str">
        <f>Riskregister!O33</f>
        <v>Not yet decided</v>
      </c>
      <c r="AJ33" s="8">
        <f>Riskregister!Q33</f>
        <v>0</v>
      </c>
    </row>
    <row r="34" spans="1:36" ht="28.8" x14ac:dyDescent="0.3">
      <c r="A34" s="23">
        <f>Riskregister!A34</f>
        <v>29</v>
      </c>
      <c r="B34" s="23" t="str">
        <f>Riskregister!B34</f>
        <v>B</v>
      </c>
      <c r="C34" s="58" t="str">
        <f>Riskregister!C34</f>
        <v>Detailed Design</v>
      </c>
      <c r="D34" s="72" t="str">
        <f>Riskregister!D34</f>
        <v>Sub-optimal design resulting from rigidity of terms of reference</v>
      </c>
      <c r="E34" s="72" t="str">
        <f>Riskregister!F34</f>
        <v>Objective of water treatment @ 2000 NTU without loss of production not reached</v>
      </c>
      <c r="F34" s="53">
        <f>Riskregister!T34</f>
        <v>5</v>
      </c>
      <c r="G34" s="53">
        <f>Riskregister!M34</f>
        <v>5</v>
      </c>
      <c r="H34" s="92">
        <f>Riskregister!I34</f>
        <v>17</v>
      </c>
      <c r="I34" s="139">
        <f>[1]Riskprofile!I34</f>
        <v>5</v>
      </c>
      <c r="J34" s="142">
        <v>30</v>
      </c>
      <c r="K34" s="50">
        <v>30</v>
      </c>
      <c r="L34" s="50">
        <v>30</v>
      </c>
      <c r="M34" s="50">
        <v>30</v>
      </c>
      <c r="N34" s="46">
        <v>5</v>
      </c>
      <c r="O34" s="52">
        <v>50</v>
      </c>
      <c r="P34" s="52">
        <v>50</v>
      </c>
      <c r="Q34" s="52">
        <v>50</v>
      </c>
      <c r="R34" s="52">
        <v>50</v>
      </c>
      <c r="S34" s="52">
        <v>50</v>
      </c>
      <c r="T34" s="52">
        <v>50</v>
      </c>
      <c r="U34" s="52">
        <v>50</v>
      </c>
      <c r="V34" s="52">
        <v>50</v>
      </c>
      <c r="W34" s="52">
        <v>50</v>
      </c>
      <c r="X34" s="52">
        <v>50</v>
      </c>
      <c r="Y34" s="52">
        <v>50</v>
      </c>
      <c r="Z34" s="96">
        <v>17</v>
      </c>
      <c r="AA34" s="50">
        <v>60</v>
      </c>
      <c r="AB34" s="50">
        <v>60</v>
      </c>
      <c r="AC34" s="50">
        <v>60</v>
      </c>
      <c r="AD34" s="50">
        <v>60</v>
      </c>
      <c r="AE34" s="50">
        <v>60</v>
      </c>
      <c r="AF34" s="50">
        <v>60</v>
      </c>
      <c r="AG34" s="50">
        <v>60</v>
      </c>
      <c r="AH34" s="51">
        <v>60</v>
      </c>
      <c r="AI34" s="140" t="str">
        <f>Riskregister!O34</f>
        <v>Not yet decided</v>
      </c>
      <c r="AJ34" s="8">
        <f>Riskregister!Q34</f>
        <v>0</v>
      </c>
    </row>
    <row r="35" spans="1:36" x14ac:dyDescent="0.3">
      <c r="A35" s="23">
        <f>Riskregister!A35</f>
        <v>30</v>
      </c>
      <c r="B35" s="23" t="str">
        <f>Riskregister!B35</f>
        <v>B</v>
      </c>
      <c r="C35" s="58" t="str">
        <f>Riskregister!C35</f>
        <v>Detailed Design</v>
      </c>
      <c r="D35" s="72" t="str">
        <f>Riskregister!D35</f>
        <v>Uncertainties in design parameters delays detailed design</v>
      </c>
      <c r="E35" s="72" t="str">
        <f>Riskregister!F35</f>
        <v>Delays in contractor's design.</v>
      </c>
      <c r="F35" s="90">
        <f>Riskregister!T35</f>
        <v>2</v>
      </c>
      <c r="G35" s="90">
        <f>Riskregister!M35</f>
        <v>2</v>
      </c>
      <c r="H35" s="53">
        <f>Riskregister!I35</f>
        <v>6</v>
      </c>
      <c r="I35" s="139">
        <f>[1]Riskprofile!I35</f>
        <v>2</v>
      </c>
      <c r="J35" s="142">
        <v>30</v>
      </c>
      <c r="K35" s="95">
        <v>2</v>
      </c>
      <c r="L35" s="52">
        <v>50</v>
      </c>
      <c r="M35" s="52">
        <v>50</v>
      </c>
      <c r="N35" s="52">
        <v>50</v>
      </c>
      <c r="O35" s="46">
        <v>6</v>
      </c>
      <c r="P35" s="50">
        <v>60</v>
      </c>
      <c r="Q35" s="50">
        <v>60</v>
      </c>
      <c r="R35" s="50">
        <v>60</v>
      </c>
      <c r="S35" s="50">
        <v>60</v>
      </c>
      <c r="T35" s="50">
        <v>60</v>
      </c>
      <c r="U35" s="50">
        <v>60</v>
      </c>
      <c r="V35" s="50">
        <v>60</v>
      </c>
      <c r="W35" s="50">
        <v>60</v>
      </c>
      <c r="X35" s="50">
        <v>60</v>
      </c>
      <c r="Y35" s="50">
        <v>60</v>
      </c>
      <c r="Z35" s="50">
        <v>60</v>
      </c>
      <c r="AA35" s="50">
        <v>60</v>
      </c>
      <c r="AB35" s="50">
        <v>60</v>
      </c>
      <c r="AC35" s="50">
        <v>60</v>
      </c>
      <c r="AD35" s="50">
        <v>60</v>
      </c>
      <c r="AE35" s="50">
        <v>60</v>
      </c>
      <c r="AF35" s="50">
        <v>60</v>
      </c>
      <c r="AG35" s="50">
        <v>60</v>
      </c>
      <c r="AH35" s="51">
        <v>60</v>
      </c>
      <c r="AI35" s="140" t="str">
        <f>Riskregister!O35</f>
        <v>Not yet decided</v>
      </c>
      <c r="AJ35" s="8">
        <f>Riskregister!Q35</f>
        <v>0</v>
      </c>
    </row>
    <row r="36" spans="1:36" x14ac:dyDescent="0.3">
      <c r="A36" s="23">
        <f>Riskregister!A36</f>
        <v>31</v>
      </c>
      <c r="B36" s="23" t="str">
        <f>Riskregister!B36</f>
        <v>B</v>
      </c>
      <c r="C36" s="58" t="str">
        <f>Riskregister!C36</f>
        <v>Detailed Design</v>
      </c>
      <c r="D36" s="72" t="str">
        <f>Riskregister!D36</f>
        <v xml:space="preserve">Vendor generated drawings are used in lieu of engineering drawings </v>
      </c>
      <c r="E36" s="72" t="str">
        <f>Riskregister!F36</f>
        <v>Construction mistakes</v>
      </c>
      <c r="F36" s="90">
        <f>Riskregister!T36</f>
        <v>2</v>
      </c>
      <c r="G36" s="90">
        <f>Riskregister!M36</f>
        <v>2</v>
      </c>
      <c r="H36" s="53">
        <f>Riskregister!I36</f>
        <v>6</v>
      </c>
      <c r="I36" s="139">
        <f>[1]Riskprofile!I36</f>
        <v>2</v>
      </c>
      <c r="J36" s="142">
        <v>30</v>
      </c>
      <c r="K36" s="95">
        <v>2</v>
      </c>
      <c r="L36" s="52">
        <v>50</v>
      </c>
      <c r="M36" s="52">
        <v>50</v>
      </c>
      <c r="N36" s="52">
        <v>50</v>
      </c>
      <c r="O36" s="46">
        <v>6</v>
      </c>
      <c r="P36" s="50">
        <v>60</v>
      </c>
      <c r="Q36" s="50">
        <v>60</v>
      </c>
      <c r="R36" s="50">
        <v>60</v>
      </c>
      <c r="S36" s="50">
        <v>60</v>
      </c>
      <c r="T36" s="50">
        <v>60</v>
      </c>
      <c r="U36" s="50">
        <v>60</v>
      </c>
      <c r="V36" s="50">
        <v>60</v>
      </c>
      <c r="W36" s="50">
        <v>60</v>
      </c>
      <c r="X36" s="50">
        <v>60</v>
      </c>
      <c r="Y36" s="50">
        <v>60</v>
      </c>
      <c r="Z36" s="50">
        <v>60</v>
      </c>
      <c r="AA36" s="50">
        <v>60</v>
      </c>
      <c r="AB36" s="50">
        <v>60</v>
      </c>
      <c r="AC36" s="50">
        <v>60</v>
      </c>
      <c r="AD36" s="50">
        <v>60</v>
      </c>
      <c r="AE36" s="50">
        <v>60</v>
      </c>
      <c r="AF36" s="50">
        <v>60</v>
      </c>
      <c r="AG36" s="50">
        <v>60</v>
      </c>
      <c r="AH36" s="51">
        <v>60</v>
      </c>
      <c r="AI36" s="140" t="str">
        <f>Riskregister!O36</f>
        <v>Not yet decided</v>
      </c>
      <c r="AJ36" s="8">
        <f>Riskregister!Q36</f>
        <v>0</v>
      </c>
    </row>
    <row r="37" spans="1:36" ht="28.8" x14ac:dyDescent="0.3">
      <c r="A37" s="23">
        <f>Riskregister!A37</f>
        <v>32</v>
      </c>
      <c r="B37" s="23" t="str">
        <f>Riskregister!B37</f>
        <v>C</v>
      </c>
      <c r="C37" s="58" t="str">
        <f>Riskregister!C37</f>
        <v>Construction</v>
      </c>
      <c r="D37" s="72" t="str">
        <f>Riskregister!D37</f>
        <v>Excess noise or other impacts causes problems with local community</v>
      </c>
      <c r="E37" s="72" t="str">
        <f>Riskregister!F37</f>
        <v>Project delays whilst issues are resolved, possible time and cost associated with remedial measures</v>
      </c>
      <c r="F37" s="53">
        <f>Riskregister!T37</f>
        <v>5</v>
      </c>
      <c r="G37" s="89">
        <f>Riskregister!M37</f>
        <v>12</v>
      </c>
      <c r="H37" s="92">
        <f>Riskregister!I37</f>
        <v>16</v>
      </c>
      <c r="I37" s="139">
        <f>[1]Riskprofile!I37</f>
        <v>12</v>
      </c>
      <c r="J37" s="142">
        <v>30</v>
      </c>
      <c r="K37" s="50">
        <v>30</v>
      </c>
      <c r="L37" s="50">
        <v>30</v>
      </c>
      <c r="M37" s="50">
        <v>30</v>
      </c>
      <c r="N37" s="46">
        <v>5</v>
      </c>
      <c r="O37" s="44">
        <v>40</v>
      </c>
      <c r="P37" s="44">
        <v>40</v>
      </c>
      <c r="Q37" s="44">
        <v>40</v>
      </c>
      <c r="R37" s="44">
        <v>40</v>
      </c>
      <c r="S37" s="44">
        <v>40</v>
      </c>
      <c r="T37" s="44">
        <v>40</v>
      </c>
      <c r="U37" s="94">
        <v>12</v>
      </c>
      <c r="V37" s="52">
        <v>50</v>
      </c>
      <c r="W37" s="52">
        <v>50</v>
      </c>
      <c r="X37" s="52">
        <v>50</v>
      </c>
      <c r="Y37" s="96">
        <v>16</v>
      </c>
      <c r="Z37" s="50">
        <v>60</v>
      </c>
      <c r="AA37" s="50">
        <v>60</v>
      </c>
      <c r="AB37" s="50">
        <v>60</v>
      </c>
      <c r="AC37" s="50">
        <v>60</v>
      </c>
      <c r="AD37" s="50">
        <v>60</v>
      </c>
      <c r="AE37" s="50">
        <v>60</v>
      </c>
      <c r="AF37" s="50">
        <v>60</v>
      </c>
      <c r="AG37" s="50">
        <v>60</v>
      </c>
      <c r="AH37" s="51">
        <v>60</v>
      </c>
      <c r="AI37" s="140" t="str">
        <f>Riskregister!O37</f>
        <v>Not yet decided</v>
      </c>
      <c r="AJ37" s="8">
        <f>Riskregister!Q37</f>
        <v>0</v>
      </c>
    </row>
    <row r="38" spans="1:36" ht="28.8" x14ac:dyDescent="0.3">
      <c r="A38" s="23">
        <f>Riskregister!A38</f>
        <v>33</v>
      </c>
      <c r="B38" s="23" t="str">
        <f>Riskregister!B38</f>
        <v>C</v>
      </c>
      <c r="C38" s="58" t="str">
        <f>Riskregister!C38</f>
        <v>Construction</v>
      </c>
      <c r="D38" s="72" t="str">
        <f>Riskregister!D38</f>
        <v>Interface with distribution pipeline</v>
      </c>
      <c r="E38" s="72" t="str">
        <f>Riskregister!F38</f>
        <v>Construction delays due to resolving issues. Possible re-design, possible last minute procurement necessary.</v>
      </c>
      <c r="F38" s="53">
        <f>Riskregister!T38</f>
        <v>5</v>
      </c>
      <c r="G38" s="89">
        <f>Riskregister!M38</f>
        <v>12</v>
      </c>
      <c r="H38" s="88">
        <f>Riskregister!I38</f>
        <v>24</v>
      </c>
      <c r="I38" s="139">
        <f>[1]Riskprofile!I38</f>
        <v>12</v>
      </c>
      <c r="J38" s="142">
        <v>30</v>
      </c>
      <c r="K38" s="50">
        <v>30</v>
      </c>
      <c r="L38" s="50">
        <v>30</v>
      </c>
      <c r="M38" s="50">
        <v>30</v>
      </c>
      <c r="N38" s="46">
        <v>5</v>
      </c>
      <c r="O38" s="44">
        <v>40</v>
      </c>
      <c r="P38" s="44">
        <v>40</v>
      </c>
      <c r="Q38" s="44">
        <v>40</v>
      </c>
      <c r="R38" s="44">
        <v>40</v>
      </c>
      <c r="S38" s="44">
        <v>40</v>
      </c>
      <c r="T38" s="44">
        <v>40</v>
      </c>
      <c r="U38" s="94">
        <v>12</v>
      </c>
      <c r="V38" s="52">
        <v>50</v>
      </c>
      <c r="W38" s="52">
        <v>50</v>
      </c>
      <c r="X38" s="52">
        <v>50</v>
      </c>
      <c r="Y38" s="52">
        <v>50</v>
      </c>
      <c r="Z38" s="52">
        <v>50</v>
      </c>
      <c r="AA38" s="52">
        <v>50</v>
      </c>
      <c r="AB38" s="52">
        <v>50</v>
      </c>
      <c r="AC38" s="52">
        <v>50</v>
      </c>
      <c r="AD38" s="52">
        <v>50</v>
      </c>
      <c r="AE38" s="52">
        <v>50</v>
      </c>
      <c r="AF38" s="52">
        <v>50</v>
      </c>
      <c r="AG38" s="93">
        <v>24</v>
      </c>
      <c r="AH38" s="51">
        <v>60</v>
      </c>
      <c r="AI38" s="140" t="str">
        <f>Riskregister!O38</f>
        <v>Not yet decided</v>
      </c>
      <c r="AJ38" s="8">
        <f>Riskregister!Q38</f>
        <v>0</v>
      </c>
    </row>
    <row r="39" spans="1:36" x14ac:dyDescent="0.3">
      <c r="A39" s="23">
        <f>Riskregister!A39</f>
        <v>34</v>
      </c>
      <c r="B39" s="23" t="str">
        <f>Riskregister!B39</f>
        <v>C</v>
      </c>
      <c r="C39" s="58" t="str">
        <f>Riskregister!C39</f>
        <v>Construction</v>
      </c>
      <c r="D39" s="72" t="str">
        <f>Riskregister!D39</f>
        <v>Major Safety Incident</v>
      </c>
      <c r="E39" s="72" t="str">
        <f>Riskregister!F39</f>
        <v>Fatality</v>
      </c>
      <c r="F39" s="89">
        <f>Riskregister!T39</f>
        <v>11</v>
      </c>
      <c r="G39" s="54">
        <f>Riskregister!M39</f>
        <v>21</v>
      </c>
      <c r="H39" s="88">
        <f>Riskregister!I39</f>
        <v>25</v>
      </c>
      <c r="I39" s="139">
        <f>[1]Riskprofile!I39</f>
        <v>21</v>
      </c>
      <c r="J39" s="142">
        <v>30</v>
      </c>
      <c r="K39" s="50">
        <v>30</v>
      </c>
      <c r="L39" s="50">
        <v>30</v>
      </c>
      <c r="M39" s="50">
        <v>30</v>
      </c>
      <c r="N39" s="50">
        <v>30</v>
      </c>
      <c r="O39" s="50">
        <v>30</v>
      </c>
      <c r="P39" s="50">
        <v>30</v>
      </c>
      <c r="Q39" s="50">
        <v>30</v>
      </c>
      <c r="R39" s="50">
        <v>30</v>
      </c>
      <c r="S39" s="50">
        <v>30</v>
      </c>
      <c r="T39" s="94">
        <v>11</v>
      </c>
      <c r="U39" s="44">
        <v>40</v>
      </c>
      <c r="V39" s="44">
        <v>40</v>
      </c>
      <c r="W39" s="44">
        <v>40</v>
      </c>
      <c r="X39" s="44">
        <v>40</v>
      </c>
      <c r="Y39" s="44">
        <v>40</v>
      </c>
      <c r="Z39" s="44">
        <v>40</v>
      </c>
      <c r="AA39" s="44">
        <v>40</v>
      </c>
      <c r="AB39" s="44">
        <v>40</v>
      </c>
      <c r="AC39" s="44">
        <v>40</v>
      </c>
      <c r="AD39" s="48">
        <v>21</v>
      </c>
      <c r="AE39" s="52">
        <v>50</v>
      </c>
      <c r="AF39" s="52">
        <v>50</v>
      </c>
      <c r="AG39" s="52">
        <v>50</v>
      </c>
      <c r="AH39" s="148">
        <v>25</v>
      </c>
      <c r="AI39" s="140" t="str">
        <f>Riskregister!O39</f>
        <v>Not yet decided</v>
      </c>
      <c r="AJ39" s="8">
        <f>Riskregister!Q39</f>
        <v>0</v>
      </c>
    </row>
    <row r="40" spans="1:36" ht="28.8" x14ac:dyDescent="0.3">
      <c r="A40" s="23">
        <f>Riskregister!A40</f>
        <v>35</v>
      </c>
      <c r="B40" s="23" t="str">
        <f>Riskregister!B40</f>
        <v>C</v>
      </c>
      <c r="C40" s="58" t="str">
        <f>Riskregister!C40</f>
        <v>Construction</v>
      </c>
      <c r="D40" s="72" t="str">
        <f>Riskregister!D40</f>
        <v>Accepted lower standards of materials quality that affect durability of the facility (e.g. noozzles, filter media)</v>
      </c>
      <c r="E40" s="72" t="str">
        <f>Riskregister!F40</f>
        <v>The later performance of the facility will be lower, impact the acceptance from Maynilad and delay the construction and installation</v>
      </c>
      <c r="F40" s="90">
        <f>Riskregister!T40</f>
        <v>2</v>
      </c>
      <c r="G40" s="53">
        <f>Riskregister!M40</f>
        <v>6</v>
      </c>
      <c r="H40" s="92">
        <f>Riskregister!I40</f>
        <v>16</v>
      </c>
      <c r="I40" s="139">
        <f>[1]Riskprofile!I40</f>
        <v>6</v>
      </c>
      <c r="J40" s="142">
        <v>30</v>
      </c>
      <c r="K40" s="95">
        <v>2</v>
      </c>
      <c r="L40" s="44">
        <v>40</v>
      </c>
      <c r="M40" s="44">
        <v>40</v>
      </c>
      <c r="N40" s="44">
        <v>40</v>
      </c>
      <c r="O40" s="46">
        <v>6</v>
      </c>
      <c r="P40" s="52">
        <v>50</v>
      </c>
      <c r="Q40" s="52">
        <v>50</v>
      </c>
      <c r="R40" s="52">
        <v>50</v>
      </c>
      <c r="S40" s="52">
        <v>50</v>
      </c>
      <c r="T40" s="52">
        <v>50</v>
      </c>
      <c r="U40" s="52">
        <v>50</v>
      </c>
      <c r="V40" s="52">
        <v>50</v>
      </c>
      <c r="W40" s="52">
        <v>50</v>
      </c>
      <c r="X40" s="52">
        <v>50</v>
      </c>
      <c r="Y40" s="96">
        <v>16</v>
      </c>
      <c r="Z40" s="50">
        <v>60</v>
      </c>
      <c r="AA40" s="50">
        <v>60</v>
      </c>
      <c r="AB40" s="50">
        <v>60</v>
      </c>
      <c r="AC40" s="50">
        <v>60</v>
      </c>
      <c r="AD40" s="50">
        <v>60</v>
      </c>
      <c r="AE40" s="50">
        <v>60</v>
      </c>
      <c r="AF40" s="50">
        <v>60</v>
      </c>
      <c r="AG40" s="50">
        <v>60</v>
      </c>
      <c r="AH40" s="51">
        <v>60</v>
      </c>
      <c r="AI40" s="140" t="str">
        <f>Riskregister!O40</f>
        <v>Not yet decided</v>
      </c>
      <c r="AJ40" s="8">
        <f>Riskregister!Q40</f>
        <v>0</v>
      </c>
    </row>
    <row r="41" spans="1:36" ht="28.8" x14ac:dyDescent="0.3">
      <c r="A41" s="23">
        <f>Riskregister!A41</f>
        <v>36</v>
      </c>
      <c r="B41" s="23" t="str">
        <f>Riskregister!B41</f>
        <v>C</v>
      </c>
      <c r="C41" s="58" t="str">
        <f>Riskregister!C41</f>
        <v>Construction</v>
      </c>
      <c r="D41" s="72" t="str">
        <f>Riskregister!D41</f>
        <v>Breach of licence conditions during construction - water quality, odour or noise issues</v>
      </c>
      <c r="E41" s="72" t="str">
        <f>Riskregister!F41</f>
        <v>Resulting in - Fines and compensation payments. Noise can be encounterred that affect the the resident</v>
      </c>
      <c r="F41" s="53">
        <f>Riskregister!T41</f>
        <v>4</v>
      </c>
      <c r="G41" s="91">
        <f>Riskregister!M41</f>
        <v>9</v>
      </c>
      <c r="H41" s="54">
        <f>Riskregister!I41</f>
        <v>20</v>
      </c>
      <c r="I41" s="139">
        <f>[1]Riskprofile!I41</f>
        <v>9</v>
      </c>
      <c r="J41" s="142">
        <v>30</v>
      </c>
      <c r="K41" s="50">
        <v>30</v>
      </c>
      <c r="L41" s="50">
        <v>30</v>
      </c>
      <c r="M41" s="46">
        <v>4</v>
      </c>
      <c r="N41" s="44">
        <v>40</v>
      </c>
      <c r="O41" s="44">
        <v>40</v>
      </c>
      <c r="P41" s="44">
        <v>40</v>
      </c>
      <c r="Q41" s="44">
        <v>40</v>
      </c>
      <c r="R41" s="50">
        <v>9</v>
      </c>
      <c r="S41" s="52">
        <v>50</v>
      </c>
      <c r="T41" s="52">
        <v>50</v>
      </c>
      <c r="U41" s="52">
        <v>50</v>
      </c>
      <c r="V41" s="52">
        <v>50</v>
      </c>
      <c r="W41" s="52">
        <v>50</v>
      </c>
      <c r="X41" s="52">
        <v>50</v>
      </c>
      <c r="Y41" s="52">
        <v>50</v>
      </c>
      <c r="Z41" s="52">
        <v>50</v>
      </c>
      <c r="AA41" s="52">
        <v>50</v>
      </c>
      <c r="AB41" s="52">
        <v>50</v>
      </c>
      <c r="AC41" s="48">
        <v>20</v>
      </c>
      <c r="AD41" s="50">
        <v>60</v>
      </c>
      <c r="AE41" s="50">
        <v>60</v>
      </c>
      <c r="AF41" s="50">
        <v>60</v>
      </c>
      <c r="AG41" s="50">
        <v>60</v>
      </c>
      <c r="AH41" s="51">
        <v>60</v>
      </c>
      <c r="AI41" s="140" t="str">
        <f>Riskregister!O41</f>
        <v>Not yet decided</v>
      </c>
      <c r="AJ41" s="8">
        <f>Riskregister!Q41</f>
        <v>0</v>
      </c>
    </row>
    <row r="42" spans="1:36" ht="28.8" x14ac:dyDescent="0.3">
      <c r="A42" s="23">
        <f>Riskregister!A42</f>
        <v>37</v>
      </c>
      <c r="B42" s="23" t="str">
        <f>Riskregister!B42</f>
        <v>C</v>
      </c>
      <c r="C42" s="58" t="str">
        <f>Riskregister!C42</f>
        <v>Construction</v>
      </c>
      <c r="D42" s="72" t="str">
        <f>Riskregister!D42</f>
        <v xml:space="preserve">Constrainst in the workable area is insufficient for construction needs </v>
      </c>
      <c r="E42" s="72" t="str">
        <f>Riskregister!F42</f>
        <v>Resulting in - difficult working conditions, causing delay and increased costs</v>
      </c>
      <c r="F42" s="53">
        <f>Riskregister!T42</f>
        <v>5</v>
      </c>
      <c r="G42" s="92">
        <f>Riskregister!M42</f>
        <v>16</v>
      </c>
      <c r="H42" s="54">
        <f>Riskregister!I42</f>
        <v>21</v>
      </c>
      <c r="I42" s="139">
        <f>[1]Riskprofile!I42</f>
        <v>16</v>
      </c>
      <c r="J42" s="142">
        <v>30</v>
      </c>
      <c r="K42" s="50">
        <v>30</v>
      </c>
      <c r="L42" s="50">
        <v>30</v>
      </c>
      <c r="M42" s="50">
        <v>30</v>
      </c>
      <c r="N42" s="46">
        <v>5</v>
      </c>
      <c r="O42" s="44">
        <v>40</v>
      </c>
      <c r="P42" s="44">
        <v>40</v>
      </c>
      <c r="Q42" s="44">
        <v>40</v>
      </c>
      <c r="R42" s="44">
        <v>40</v>
      </c>
      <c r="S42" s="44">
        <v>40</v>
      </c>
      <c r="T42" s="44">
        <v>40</v>
      </c>
      <c r="U42" s="44">
        <v>40</v>
      </c>
      <c r="V42" s="44">
        <v>40</v>
      </c>
      <c r="W42" s="44">
        <v>40</v>
      </c>
      <c r="X42" s="44">
        <v>40</v>
      </c>
      <c r="Y42" s="96">
        <v>16</v>
      </c>
      <c r="Z42" s="52">
        <v>50</v>
      </c>
      <c r="AA42" s="52">
        <v>50</v>
      </c>
      <c r="AB42" s="52">
        <v>50</v>
      </c>
      <c r="AC42" s="52">
        <v>50</v>
      </c>
      <c r="AD42" s="48">
        <v>21</v>
      </c>
      <c r="AE42" s="50">
        <v>60</v>
      </c>
      <c r="AF42" s="50">
        <v>60</v>
      </c>
      <c r="AG42" s="50">
        <v>60</v>
      </c>
      <c r="AH42" s="51">
        <v>60</v>
      </c>
      <c r="AI42" s="140" t="str">
        <f>Riskregister!O42</f>
        <v>Not yet decided</v>
      </c>
      <c r="AJ42" s="8">
        <f>Riskregister!Q42</f>
        <v>0</v>
      </c>
    </row>
    <row r="43" spans="1:36" ht="28.8" x14ac:dyDescent="0.3">
      <c r="A43" s="23">
        <f>Riskregister!A43</f>
        <v>38</v>
      </c>
      <c r="B43" s="23" t="str">
        <f>Riskregister!B43</f>
        <v>C</v>
      </c>
      <c r="C43" s="58" t="str">
        <f>Riskregister!C43</f>
        <v>Construction</v>
      </c>
      <c r="D43" s="72" t="str">
        <f>Riskregister!D43</f>
        <v>Damage to existing non-utilities infrastructure during construction.</v>
      </c>
      <c r="E43" s="72" t="str">
        <f>Riskregister!F43</f>
        <v>Resulting in - Additional costs to rectify damage. Possible delays in completing site works.</v>
      </c>
      <c r="F43" s="53">
        <f>Riskregister!T43</f>
        <v>5</v>
      </c>
      <c r="G43" s="89">
        <f>Riskregister!M43</f>
        <v>12</v>
      </c>
      <c r="H43" s="92">
        <f>Riskregister!I43</f>
        <v>17</v>
      </c>
      <c r="I43" s="139">
        <f>[1]Riskprofile!I43</f>
        <v>12</v>
      </c>
      <c r="J43" s="142">
        <v>30</v>
      </c>
      <c r="K43" s="50">
        <v>30</v>
      </c>
      <c r="L43" s="50">
        <v>30</v>
      </c>
      <c r="M43" s="50">
        <v>30</v>
      </c>
      <c r="N43" s="46">
        <v>5</v>
      </c>
      <c r="O43" s="44">
        <v>40</v>
      </c>
      <c r="P43" s="44">
        <v>40</v>
      </c>
      <c r="Q43" s="44">
        <v>40</v>
      </c>
      <c r="R43" s="44">
        <v>40</v>
      </c>
      <c r="S43" s="44">
        <v>40</v>
      </c>
      <c r="T43" s="44">
        <v>40</v>
      </c>
      <c r="U43" s="94">
        <v>12</v>
      </c>
      <c r="V43" s="52">
        <v>50</v>
      </c>
      <c r="W43" s="52">
        <v>50</v>
      </c>
      <c r="X43" s="52">
        <v>50</v>
      </c>
      <c r="Y43" s="52">
        <v>50</v>
      </c>
      <c r="Z43" s="96">
        <v>17</v>
      </c>
      <c r="AA43" s="50">
        <v>60</v>
      </c>
      <c r="AB43" s="50">
        <v>60</v>
      </c>
      <c r="AC43" s="50">
        <v>60</v>
      </c>
      <c r="AD43" s="50">
        <v>60</v>
      </c>
      <c r="AE43" s="50">
        <v>60</v>
      </c>
      <c r="AF43" s="50">
        <v>60</v>
      </c>
      <c r="AG43" s="50">
        <v>60</v>
      </c>
      <c r="AH43" s="51">
        <v>60</v>
      </c>
      <c r="AI43" s="140" t="str">
        <f>Riskregister!O43</f>
        <v>Not yet decided</v>
      </c>
      <c r="AJ43" s="8">
        <f>Riskregister!Q43</f>
        <v>0</v>
      </c>
    </row>
    <row r="44" spans="1:36" ht="28.8" x14ac:dyDescent="0.3">
      <c r="A44" s="23">
        <f>Riskregister!A44</f>
        <v>39</v>
      </c>
      <c r="B44" s="23" t="str">
        <f>Riskregister!B44</f>
        <v>C</v>
      </c>
      <c r="C44" s="58" t="str">
        <f>Riskregister!C44</f>
        <v>Construction</v>
      </c>
      <c r="D44" s="72" t="str">
        <f>Riskregister!D44</f>
        <v xml:space="preserve">Damage to Power Telco, fiber optic network, pipe, and electrical line, or unknown utilities infrastructure during construction </v>
      </c>
      <c r="E44" s="72" t="str">
        <f>Riskregister!F44</f>
        <v>Resulting in - re-instatement costs and complaints from utilities provider and its customers</v>
      </c>
      <c r="F44" s="53">
        <f>Riskregister!T44</f>
        <v>5</v>
      </c>
      <c r="G44" s="89">
        <f>Riskregister!M44</f>
        <v>12</v>
      </c>
      <c r="H44" s="54">
        <f>Riskregister!I44</f>
        <v>21</v>
      </c>
      <c r="I44" s="139">
        <f>[1]Riskprofile!I44</f>
        <v>12</v>
      </c>
      <c r="J44" s="142">
        <v>30</v>
      </c>
      <c r="K44" s="50">
        <v>30</v>
      </c>
      <c r="L44" s="50">
        <v>30</v>
      </c>
      <c r="M44" s="50">
        <v>30</v>
      </c>
      <c r="N44" s="46">
        <v>5</v>
      </c>
      <c r="O44" s="44">
        <v>40</v>
      </c>
      <c r="P44" s="44">
        <v>40</v>
      </c>
      <c r="Q44" s="44">
        <v>40</v>
      </c>
      <c r="R44" s="44">
        <v>40</v>
      </c>
      <c r="S44" s="44">
        <v>40</v>
      </c>
      <c r="T44" s="44">
        <v>40</v>
      </c>
      <c r="U44" s="94">
        <v>12</v>
      </c>
      <c r="V44" s="52">
        <v>50</v>
      </c>
      <c r="W44" s="52">
        <v>50</v>
      </c>
      <c r="X44" s="52">
        <v>50</v>
      </c>
      <c r="Y44" s="52">
        <v>50</v>
      </c>
      <c r="Z44" s="52">
        <v>50</v>
      </c>
      <c r="AA44" s="52">
        <v>50</v>
      </c>
      <c r="AB44" s="52">
        <v>50</v>
      </c>
      <c r="AC44" s="52">
        <v>50</v>
      </c>
      <c r="AD44" s="48">
        <v>21</v>
      </c>
      <c r="AE44" s="50">
        <v>60</v>
      </c>
      <c r="AF44" s="50">
        <v>60</v>
      </c>
      <c r="AG44" s="50">
        <v>60</v>
      </c>
      <c r="AH44" s="51">
        <v>60</v>
      </c>
      <c r="AI44" s="140" t="str">
        <f>Riskregister!O44</f>
        <v>Not yet decided</v>
      </c>
      <c r="AJ44" s="8">
        <f>Riskregister!Q44</f>
        <v>0</v>
      </c>
    </row>
    <row r="45" spans="1:36" ht="28.8" x14ac:dyDescent="0.3">
      <c r="A45" s="23">
        <f>Riskregister!A45</f>
        <v>40</v>
      </c>
      <c r="B45" s="23" t="str">
        <f>Riskregister!B45</f>
        <v>C</v>
      </c>
      <c r="C45" s="58" t="str">
        <f>Riskregister!C45</f>
        <v>Construction</v>
      </c>
      <c r="D45" s="72" t="str">
        <f>Riskregister!D45</f>
        <v>Difficulties disposing of construction waste resulting in site contamination</v>
      </c>
      <c r="E45" s="72" t="str">
        <f>Riskregister!F45</f>
        <v>Resulting in - higher than expected disposal costs, additional site clean up costs. Constructor to pay Maynilad safety schedule</v>
      </c>
      <c r="F45" s="89">
        <f>Riskregister!T45</f>
        <v>11</v>
      </c>
      <c r="G45" s="92">
        <f>Riskregister!M45</f>
        <v>17</v>
      </c>
      <c r="H45" s="88">
        <f>Riskregister!I45</f>
        <v>24</v>
      </c>
      <c r="I45" s="139">
        <f>[1]Riskprofile!I45</f>
        <v>17</v>
      </c>
      <c r="J45" s="142">
        <v>30</v>
      </c>
      <c r="K45" s="50">
        <v>30</v>
      </c>
      <c r="L45" s="50">
        <v>30</v>
      </c>
      <c r="M45" s="50">
        <v>30</v>
      </c>
      <c r="N45" s="50">
        <v>30</v>
      </c>
      <c r="O45" s="50">
        <v>30</v>
      </c>
      <c r="P45" s="50">
        <v>30</v>
      </c>
      <c r="Q45" s="50">
        <v>30</v>
      </c>
      <c r="R45" s="50">
        <v>30</v>
      </c>
      <c r="S45" s="50">
        <v>30</v>
      </c>
      <c r="T45" s="94">
        <v>11</v>
      </c>
      <c r="U45" s="44">
        <v>40</v>
      </c>
      <c r="V45" s="44">
        <v>40</v>
      </c>
      <c r="W45" s="44">
        <v>40</v>
      </c>
      <c r="X45" s="44">
        <v>40</v>
      </c>
      <c r="Y45" s="44">
        <v>40</v>
      </c>
      <c r="Z45" s="96">
        <v>17</v>
      </c>
      <c r="AA45" s="52">
        <v>50</v>
      </c>
      <c r="AB45" s="52">
        <v>50</v>
      </c>
      <c r="AC45" s="52">
        <v>50</v>
      </c>
      <c r="AD45" s="52">
        <v>50</v>
      </c>
      <c r="AE45" s="52">
        <v>50</v>
      </c>
      <c r="AF45" s="52">
        <v>50</v>
      </c>
      <c r="AG45" s="93">
        <v>24</v>
      </c>
      <c r="AH45" s="51">
        <v>60</v>
      </c>
      <c r="AI45" s="140" t="str">
        <f>Riskregister!O45</f>
        <v>Not yet decided</v>
      </c>
      <c r="AJ45" s="8">
        <f>Riskregister!Q45</f>
        <v>0</v>
      </c>
    </row>
    <row r="46" spans="1:36" ht="28.8" x14ac:dyDescent="0.3">
      <c r="A46" s="23">
        <f>Riskregister!A46</f>
        <v>41</v>
      </c>
      <c r="B46" s="23" t="str">
        <f>Riskregister!B46</f>
        <v>C</v>
      </c>
      <c r="C46" s="58" t="str">
        <f>Riskregister!C46</f>
        <v>Construction</v>
      </c>
      <c r="D46" s="72" t="str">
        <f>Riskregister!D46</f>
        <v>Disconnect, gap, miscommunication, and unfriendly relationship between technical teams (designers), contractors</v>
      </c>
      <c r="E46" s="72" t="str">
        <f>Riskregister!F46</f>
        <v>Resulting in - Errors, non-optimal solutions and re-work</v>
      </c>
      <c r="F46" s="89">
        <f>Riskregister!T46</f>
        <v>11</v>
      </c>
      <c r="G46" s="92">
        <f>Riskregister!M46</f>
        <v>17</v>
      </c>
      <c r="H46" s="88">
        <f>Riskregister!I46</f>
        <v>23</v>
      </c>
      <c r="I46" s="139">
        <f>[1]Riskprofile!I46</f>
        <v>17</v>
      </c>
      <c r="J46" s="142">
        <v>30</v>
      </c>
      <c r="K46" s="50">
        <v>30</v>
      </c>
      <c r="L46" s="50">
        <v>30</v>
      </c>
      <c r="M46" s="50">
        <v>30</v>
      </c>
      <c r="N46" s="50">
        <v>30</v>
      </c>
      <c r="O46" s="50">
        <v>30</v>
      </c>
      <c r="P46" s="50">
        <v>30</v>
      </c>
      <c r="Q46" s="50">
        <v>30</v>
      </c>
      <c r="R46" s="50">
        <v>30</v>
      </c>
      <c r="S46" s="50">
        <v>30</v>
      </c>
      <c r="T46" s="94">
        <v>11</v>
      </c>
      <c r="U46" s="44">
        <v>40</v>
      </c>
      <c r="V46" s="44">
        <v>40</v>
      </c>
      <c r="W46" s="44">
        <v>40</v>
      </c>
      <c r="X46" s="44">
        <v>40</v>
      </c>
      <c r="Y46" s="44">
        <v>40</v>
      </c>
      <c r="Z46" s="96">
        <v>17</v>
      </c>
      <c r="AA46" s="52">
        <v>50</v>
      </c>
      <c r="AB46" s="52">
        <v>50</v>
      </c>
      <c r="AC46" s="52">
        <v>50</v>
      </c>
      <c r="AD46" s="52">
        <v>50</v>
      </c>
      <c r="AE46" s="52">
        <v>50</v>
      </c>
      <c r="AF46" s="93">
        <v>23</v>
      </c>
      <c r="AG46" s="50">
        <v>60</v>
      </c>
      <c r="AH46" s="51">
        <v>60</v>
      </c>
      <c r="AI46" s="140" t="str">
        <f>Riskregister!O46</f>
        <v>Not yet decided</v>
      </c>
      <c r="AJ46" s="8">
        <f>Riskregister!Q46</f>
        <v>0</v>
      </c>
    </row>
    <row r="47" spans="1:36" ht="28.8" x14ac:dyDescent="0.3">
      <c r="A47" s="23">
        <f>Riskregister!A47</f>
        <v>42</v>
      </c>
      <c r="B47" s="23" t="str">
        <f>Riskregister!B47</f>
        <v>C</v>
      </c>
      <c r="C47" s="58" t="str">
        <f>Riskregister!C47</f>
        <v>Construction</v>
      </c>
      <c r="D47" s="72" t="str">
        <f>Riskregister!D47</f>
        <v>Disruption to bus services from temporary road closures during construction (e.g. specify road for equipment and material delivery)</v>
      </c>
      <c r="E47" s="72" t="str">
        <f>Riskregister!F47</f>
        <v>Resulting in - Potential for public complaints abd calls for compensation.</v>
      </c>
      <c r="F47" s="53">
        <f>Riskregister!T47</f>
        <v>5</v>
      </c>
      <c r="G47" s="92">
        <f>Riskregister!M47</f>
        <v>16</v>
      </c>
      <c r="H47" s="54">
        <f>Riskregister!I47</f>
        <v>21</v>
      </c>
      <c r="I47" s="139">
        <f>[1]Riskprofile!I47</f>
        <v>16</v>
      </c>
      <c r="J47" s="142">
        <v>30</v>
      </c>
      <c r="K47" s="50">
        <v>30</v>
      </c>
      <c r="L47" s="50">
        <v>30</v>
      </c>
      <c r="M47" s="50">
        <v>30</v>
      </c>
      <c r="N47" s="46">
        <v>5</v>
      </c>
      <c r="O47" s="44">
        <v>40</v>
      </c>
      <c r="P47" s="44">
        <v>40</v>
      </c>
      <c r="Q47" s="44">
        <v>40</v>
      </c>
      <c r="R47" s="44">
        <v>40</v>
      </c>
      <c r="S47" s="44">
        <v>40</v>
      </c>
      <c r="T47" s="44">
        <v>40</v>
      </c>
      <c r="U47" s="44">
        <v>40</v>
      </c>
      <c r="V47" s="44">
        <v>40</v>
      </c>
      <c r="W47" s="44">
        <v>40</v>
      </c>
      <c r="X47" s="44">
        <v>40</v>
      </c>
      <c r="Y47" s="96">
        <v>16</v>
      </c>
      <c r="Z47" s="52">
        <v>50</v>
      </c>
      <c r="AA47" s="52">
        <v>50</v>
      </c>
      <c r="AB47" s="52">
        <v>50</v>
      </c>
      <c r="AC47" s="52">
        <v>50</v>
      </c>
      <c r="AD47" s="48">
        <v>21</v>
      </c>
      <c r="AE47" s="50">
        <v>60</v>
      </c>
      <c r="AF47" s="50">
        <v>60</v>
      </c>
      <c r="AG47" s="50">
        <v>60</v>
      </c>
      <c r="AH47" s="51">
        <v>60</v>
      </c>
      <c r="AI47" s="140" t="str">
        <f>Riskregister!O47</f>
        <v>Not yet decided</v>
      </c>
      <c r="AJ47" s="8">
        <f>Riskregister!Q47</f>
        <v>0</v>
      </c>
    </row>
    <row r="48" spans="1:36" ht="28.8" x14ac:dyDescent="0.3">
      <c r="A48" s="23">
        <f>Riskregister!A48</f>
        <v>43</v>
      </c>
      <c r="B48" s="23" t="str">
        <f>Riskregister!B48</f>
        <v>C</v>
      </c>
      <c r="C48" s="58" t="str">
        <f>Riskregister!C48</f>
        <v>Construction</v>
      </c>
      <c r="D48" s="72" t="str">
        <f>Riskregister!D48</f>
        <v>Engineering difficulties or inability to construct pipeline across a flood plain</v>
      </c>
      <c r="E48" s="72" t="str">
        <f>Riskregister!F48</f>
        <v>Resulting in - increased engineering design and construction costs.</v>
      </c>
      <c r="F48" s="90">
        <f>Riskregister!T48</f>
        <v>1</v>
      </c>
      <c r="G48" s="53">
        <f>Riskregister!M48</f>
        <v>5</v>
      </c>
      <c r="H48" s="89">
        <f>Riskregister!I48</f>
        <v>11</v>
      </c>
      <c r="I48" s="139">
        <f>[1]Riskprofile!I48</f>
        <v>5</v>
      </c>
      <c r="J48" s="143">
        <v>1</v>
      </c>
      <c r="K48" s="44">
        <v>40</v>
      </c>
      <c r="L48" s="44">
        <v>40</v>
      </c>
      <c r="M48" s="44">
        <v>40</v>
      </c>
      <c r="N48" s="46">
        <v>5</v>
      </c>
      <c r="O48" s="52">
        <v>50</v>
      </c>
      <c r="P48" s="52">
        <v>50</v>
      </c>
      <c r="Q48" s="52">
        <v>50</v>
      </c>
      <c r="R48" s="52">
        <v>50</v>
      </c>
      <c r="S48" s="52">
        <v>50</v>
      </c>
      <c r="T48" s="94">
        <v>11</v>
      </c>
      <c r="U48" s="50">
        <v>60</v>
      </c>
      <c r="V48" s="50">
        <v>60</v>
      </c>
      <c r="W48" s="50">
        <v>60</v>
      </c>
      <c r="X48" s="50">
        <v>60</v>
      </c>
      <c r="Y48" s="50">
        <v>60</v>
      </c>
      <c r="Z48" s="50">
        <v>60</v>
      </c>
      <c r="AA48" s="50">
        <v>60</v>
      </c>
      <c r="AB48" s="50">
        <v>60</v>
      </c>
      <c r="AC48" s="50">
        <v>60</v>
      </c>
      <c r="AD48" s="50">
        <v>60</v>
      </c>
      <c r="AE48" s="50">
        <v>60</v>
      </c>
      <c r="AF48" s="50">
        <v>60</v>
      </c>
      <c r="AG48" s="50">
        <v>60</v>
      </c>
      <c r="AH48" s="51">
        <v>60</v>
      </c>
      <c r="AI48" s="140" t="str">
        <f>Riskregister!O48</f>
        <v>Not yet decided</v>
      </c>
      <c r="AJ48" s="8">
        <f>Riskregister!Q48</f>
        <v>0</v>
      </c>
    </row>
    <row r="49" spans="1:36" ht="43.2" x14ac:dyDescent="0.3">
      <c r="A49" s="23">
        <f>Riskregister!A49</f>
        <v>44</v>
      </c>
      <c r="B49" s="23" t="str">
        <f>Riskregister!B49</f>
        <v>C</v>
      </c>
      <c r="C49" s="58" t="str">
        <f>Riskregister!C49</f>
        <v>Construction</v>
      </c>
      <c r="D49" s="72" t="str">
        <f>Riskregister!D49</f>
        <v>Excessive pipe failures due to poor quality practices. Existing ultilities (e.g. piple, pump) can be damaged to due to interfacing with construction and installation</v>
      </c>
      <c r="E49" s="72" t="str">
        <f>Riskregister!F49</f>
        <v>Resulting in - high repair costs and delays in commissioning. Resulting in - temporary shutting down of the equipment in particularly and plant operation</v>
      </c>
      <c r="F49" s="53">
        <f>Riskregister!T49</f>
        <v>6</v>
      </c>
      <c r="G49" s="92">
        <f>Riskregister!M49</f>
        <v>16</v>
      </c>
      <c r="H49" s="88">
        <f>Riskregister!I49</f>
        <v>22</v>
      </c>
      <c r="I49" s="139">
        <f>[1]Riskprofile!I49</f>
        <v>16</v>
      </c>
      <c r="J49" s="142">
        <v>30</v>
      </c>
      <c r="K49" s="50">
        <v>30</v>
      </c>
      <c r="L49" s="50">
        <v>30</v>
      </c>
      <c r="M49" s="50">
        <v>30</v>
      </c>
      <c r="N49" s="50">
        <v>30</v>
      </c>
      <c r="O49" s="46">
        <v>6</v>
      </c>
      <c r="P49" s="44">
        <v>40</v>
      </c>
      <c r="Q49" s="44">
        <v>40</v>
      </c>
      <c r="R49" s="44">
        <v>40</v>
      </c>
      <c r="S49" s="44">
        <v>40</v>
      </c>
      <c r="T49" s="44">
        <v>40</v>
      </c>
      <c r="U49" s="44">
        <v>40</v>
      </c>
      <c r="V49" s="44">
        <v>40</v>
      </c>
      <c r="W49" s="44">
        <v>40</v>
      </c>
      <c r="X49" s="44">
        <v>40</v>
      </c>
      <c r="Y49" s="96">
        <v>16</v>
      </c>
      <c r="Z49" s="52">
        <v>50</v>
      </c>
      <c r="AA49" s="52">
        <v>50</v>
      </c>
      <c r="AB49" s="52">
        <v>50</v>
      </c>
      <c r="AC49" s="52">
        <v>50</v>
      </c>
      <c r="AD49" s="52">
        <v>50</v>
      </c>
      <c r="AE49" s="93">
        <v>22</v>
      </c>
      <c r="AF49" s="50">
        <v>60</v>
      </c>
      <c r="AG49" s="50">
        <v>60</v>
      </c>
      <c r="AH49" s="51">
        <v>60</v>
      </c>
      <c r="AI49" s="140" t="str">
        <f>Riskregister!O49</f>
        <v>Not yet decided</v>
      </c>
      <c r="AJ49" s="8">
        <f>Riskregister!Q49</f>
        <v>0</v>
      </c>
    </row>
    <row r="50" spans="1:36" ht="43.2" x14ac:dyDescent="0.3">
      <c r="A50" s="23">
        <f>Riskregister!A50</f>
        <v>45</v>
      </c>
      <c r="B50" s="23" t="str">
        <f>Riskregister!B50</f>
        <v>C</v>
      </c>
      <c r="C50" s="58" t="str">
        <f>Riskregister!C50</f>
        <v>Construction</v>
      </c>
      <c r="D50" s="72" t="str">
        <f>Riskregister!D50</f>
        <v>Excessive reinstatement demands required by land or property owners.</v>
      </c>
      <c r="E50" s="72" t="str">
        <f>Riskregister!F50</f>
        <v>Resulting in - use of local or Main Road specifications, extended timeframe for completion, and additional work to appease different stakeholders.</v>
      </c>
      <c r="F50" s="53">
        <f>Riskregister!T50</f>
        <v>5</v>
      </c>
      <c r="G50" s="89">
        <f>Riskregister!M50</f>
        <v>12</v>
      </c>
      <c r="H50" s="92">
        <f>Riskregister!I50</f>
        <v>17</v>
      </c>
      <c r="I50" s="139">
        <f>[1]Riskprofile!I50</f>
        <v>12</v>
      </c>
      <c r="J50" s="142">
        <v>30</v>
      </c>
      <c r="K50" s="50">
        <v>30</v>
      </c>
      <c r="L50" s="50">
        <v>30</v>
      </c>
      <c r="M50" s="50">
        <v>30</v>
      </c>
      <c r="N50" s="46">
        <v>5</v>
      </c>
      <c r="O50" s="44">
        <v>40</v>
      </c>
      <c r="P50" s="44">
        <v>40</v>
      </c>
      <c r="Q50" s="44">
        <v>40</v>
      </c>
      <c r="R50" s="44">
        <v>40</v>
      </c>
      <c r="S50" s="44">
        <v>40</v>
      </c>
      <c r="T50" s="44">
        <v>40</v>
      </c>
      <c r="U50" s="94">
        <v>12</v>
      </c>
      <c r="V50" s="52">
        <v>50</v>
      </c>
      <c r="W50" s="52">
        <v>50</v>
      </c>
      <c r="X50" s="52">
        <v>50</v>
      </c>
      <c r="Y50" s="52">
        <v>50</v>
      </c>
      <c r="Z50" s="96">
        <v>17</v>
      </c>
      <c r="AA50" s="50">
        <v>60</v>
      </c>
      <c r="AB50" s="50">
        <v>60</v>
      </c>
      <c r="AC50" s="50">
        <v>60</v>
      </c>
      <c r="AD50" s="50">
        <v>60</v>
      </c>
      <c r="AE50" s="50">
        <v>60</v>
      </c>
      <c r="AF50" s="50">
        <v>60</v>
      </c>
      <c r="AG50" s="50">
        <v>60</v>
      </c>
      <c r="AH50" s="51">
        <v>60</v>
      </c>
      <c r="AI50" s="140" t="str">
        <f>Riskregister!O50</f>
        <v>Not yet decided</v>
      </c>
      <c r="AJ50" s="8">
        <f>Riskregister!Q50</f>
        <v>0</v>
      </c>
    </row>
    <row r="51" spans="1:36" ht="28.8" x14ac:dyDescent="0.3">
      <c r="A51" s="23">
        <f>Riskregister!A51</f>
        <v>46</v>
      </c>
      <c r="B51" s="23" t="str">
        <f>Riskregister!B51</f>
        <v>C</v>
      </c>
      <c r="C51" s="58" t="str">
        <f>Riskregister!C51</f>
        <v>Construction</v>
      </c>
      <c r="D51" s="72" t="str">
        <f>Riskregister!D51</f>
        <v xml:space="preserve">Fire on construction site causes damage to materials, equipment and/or plant </v>
      </c>
      <c r="E51" s="72" t="str">
        <f>Riskregister!F51</f>
        <v>Resulting in - replacement and site recovery costs, possible fines. Costs to implement further preventative measures</v>
      </c>
      <c r="F51" s="53">
        <f>Riskregister!T51</f>
        <v>5</v>
      </c>
      <c r="G51" s="89">
        <f>Riskregister!M51</f>
        <v>12</v>
      </c>
      <c r="H51" s="54">
        <f>Riskregister!I51</f>
        <v>21</v>
      </c>
      <c r="I51" s="139">
        <f>[1]Riskprofile!I51</f>
        <v>12</v>
      </c>
      <c r="J51" s="142">
        <v>30</v>
      </c>
      <c r="K51" s="50">
        <v>30</v>
      </c>
      <c r="L51" s="50">
        <v>30</v>
      </c>
      <c r="M51" s="50">
        <v>30</v>
      </c>
      <c r="N51" s="46">
        <v>5</v>
      </c>
      <c r="O51" s="44">
        <v>40</v>
      </c>
      <c r="P51" s="44">
        <v>40</v>
      </c>
      <c r="Q51" s="44">
        <v>40</v>
      </c>
      <c r="R51" s="44">
        <v>40</v>
      </c>
      <c r="S51" s="44">
        <v>40</v>
      </c>
      <c r="T51" s="44">
        <v>40</v>
      </c>
      <c r="U51" s="94">
        <v>12</v>
      </c>
      <c r="V51" s="52">
        <v>50</v>
      </c>
      <c r="W51" s="52">
        <v>50</v>
      </c>
      <c r="X51" s="52">
        <v>50</v>
      </c>
      <c r="Y51" s="52">
        <v>50</v>
      </c>
      <c r="Z51" s="52">
        <v>50</v>
      </c>
      <c r="AA51" s="52">
        <v>50</v>
      </c>
      <c r="AB51" s="52">
        <v>50</v>
      </c>
      <c r="AC51" s="52">
        <v>50</v>
      </c>
      <c r="AD51" s="48">
        <v>21</v>
      </c>
      <c r="AE51" s="50">
        <v>60</v>
      </c>
      <c r="AF51" s="50">
        <v>60</v>
      </c>
      <c r="AG51" s="50">
        <v>60</v>
      </c>
      <c r="AH51" s="51">
        <v>60</v>
      </c>
      <c r="AI51" s="140" t="str">
        <f>Riskregister!O51</f>
        <v>Not yet decided</v>
      </c>
      <c r="AJ51" s="8">
        <f>Riskregister!Q51</f>
        <v>0</v>
      </c>
    </row>
    <row r="52" spans="1:36" ht="28.8" x14ac:dyDescent="0.3">
      <c r="A52" s="23">
        <f>Riskregister!A52</f>
        <v>47</v>
      </c>
      <c r="B52" s="23" t="str">
        <f>Riskregister!B52</f>
        <v>C</v>
      </c>
      <c r="C52" s="58" t="str">
        <f>Riskregister!C52</f>
        <v>Construction</v>
      </c>
      <c r="D52" s="72" t="str">
        <f>Riskregister!D52</f>
        <v>Lack of, or inadequate, planning and coordination with Maynilad in construction resulting in errors or poor working practices.</v>
      </c>
      <c r="E52" s="72" t="str">
        <f>Riskregister!F52</f>
        <v>Resulting in - errors, delays and re-work to rectify the problem. Possible loss of image to MW and Alliance.</v>
      </c>
      <c r="F52" s="89">
        <f>Riskregister!T52</f>
        <v>11</v>
      </c>
      <c r="G52" s="88">
        <f>Riskregister!M52</f>
        <v>23</v>
      </c>
      <c r="H52" s="88">
        <f>Riskregister!I52</f>
        <v>24</v>
      </c>
      <c r="I52" s="139">
        <f>[1]Riskprofile!I52</f>
        <v>23</v>
      </c>
      <c r="J52" s="65">
        <v>30</v>
      </c>
      <c r="K52" s="59">
        <v>30</v>
      </c>
      <c r="L52" s="59">
        <v>30</v>
      </c>
      <c r="M52" s="59">
        <v>30</v>
      </c>
      <c r="N52" s="59">
        <v>30</v>
      </c>
      <c r="O52" s="59">
        <v>30</v>
      </c>
      <c r="P52" s="59">
        <v>30</v>
      </c>
      <c r="Q52" s="59">
        <v>30</v>
      </c>
      <c r="R52" s="59">
        <v>30</v>
      </c>
      <c r="S52" s="59">
        <v>30</v>
      </c>
      <c r="T52" s="97">
        <v>11</v>
      </c>
      <c r="U52" s="62">
        <v>40</v>
      </c>
      <c r="V52" s="62">
        <v>40</v>
      </c>
      <c r="W52" s="62">
        <v>40</v>
      </c>
      <c r="X52" s="62">
        <v>40</v>
      </c>
      <c r="Y52" s="62">
        <v>40</v>
      </c>
      <c r="Z52" s="62">
        <v>40</v>
      </c>
      <c r="AA52" s="62">
        <v>40</v>
      </c>
      <c r="AB52" s="62">
        <v>40</v>
      </c>
      <c r="AC52" s="62">
        <v>40</v>
      </c>
      <c r="AD52" s="62">
        <v>40</v>
      </c>
      <c r="AE52" s="62">
        <v>40</v>
      </c>
      <c r="AF52" s="98">
        <v>23</v>
      </c>
      <c r="AG52" s="98">
        <v>24</v>
      </c>
      <c r="AH52" s="61">
        <v>60</v>
      </c>
      <c r="AI52" s="140" t="str">
        <f>Riskregister!O52</f>
        <v>Not yet decided</v>
      </c>
      <c r="AJ52" s="8">
        <f>Riskregister!Q52</f>
        <v>0</v>
      </c>
    </row>
    <row r="53" spans="1:36" ht="28.8" x14ac:dyDescent="0.3">
      <c r="A53" s="23">
        <f>Riskregister!A53</f>
        <v>48</v>
      </c>
      <c r="B53" s="23" t="str">
        <f>Riskregister!B53</f>
        <v>C</v>
      </c>
      <c r="C53" s="58" t="str">
        <f>Riskregister!C53</f>
        <v>Construction</v>
      </c>
      <c r="D53" s="72" t="str">
        <f>Riskregister!D53</f>
        <v>Late changes in design resulting from changes in operating procedures</v>
      </c>
      <c r="E53" s="72" t="str">
        <f>Riskregister!F53</f>
        <v>Resulting in - re-work and delays in construction and commissioning.</v>
      </c>
      <c r="F53" s="53">
        <f>Riskregister!T53</f>
        <v>5</v>
      </c>
      <c r="G53" s="89">
        <f>Riskregister!M53</f>
        <v>12</v>
      </c>
      <c r="H53" s="88">
        <f>Riskregister!I53</f>
        <v>24</v>
      </c>
      <c r="I53" s="139">
        <f>[1]Riskprofile!I53</f>
        <v>12</v>
      </c>
      <c r="J53" s="65">
        <v>30</v>
      </c>
      <c r="K53" s="59">
        <v>30</v>
      </c>
      <c r="L53" s="59">
        <v>30</v>
      </c>
      <c r="M53" s="59">
        <v>30</v>
      </c>
      <c r="N53" s="64">
        <v>5</v>
      </c>
      <c r="O53" s="62">
        <v>40</v>
      </c>
      <c r="P53" s="62">
        <v>40</v>
      </c>
      <c r="Q53" s="62">
        <v>40</v>
      </c>
      <c r="R53" s="62">
        <v>40</v>
      </c>
      <c r="S53" s="62">
        <v>40</v>
      </c>
      <c r="T53" s="62">
        <v>40</v>
      </c>
      <c r="U53" s="97">
        <v>12</v>
      </c>
      <c r="V53" s="63">
        <v>50</v>
      </c>
      <c r="W53" s="63">
        <v>50</v>
      </c>
      <c r="X53" s="63">
        <v>50</v>
      </c>
      <c r="Y53" s="63">
        <v>50</v>
      </c>
      <c r="Z53" s="63">
        <v>50</v>
      </c>
      <c r="AA53" s="63">
        <v>50</v>
      </c>
      <c r="AB53" s="63">
        <v>50</v>
      </c>
      <c r="AC53" s="63">
        <v>50</v>
      </c>
      <c r="AD53" s="63">
        <v>50</v>
      </c>
      <c r="AE53" s="63">
        <v>50</v>
      </c>
      <c r="AF53" s="63">
        <v>50</v>
      </c>
      <c r="AG53" s="98">
        <v>24</v>
      </c>
      <c r="AH53" s="61">
        <v>60</v>
      </c>
      <c r="AI53" s="140" t="str">
        <f>Riskregister!O53</f>
        <v>Not yet decided</v>
      </c>
      <c r="AJ53" s="8">
        <f>Riskregister!Q53</f>
        <v>0</v>
      </c>
    </row>
    <row r="54" spans="1:36" ht="28.8" x14ac:dyDescent="0.3">
      <c r="A54" s="23">
        <f>Riskregister!A54</f>
        <v>49</v>
      </c>
      <c r="B54" s="23" t="str">
        <f>Riskregister!B54</f>
        <v>C</v>
      </c>
      <c r="C54" s="58" t="str">
        <f>Riskregister!C54</f>
        <v>Construction</v>
      </c>
      <c r="D54" s="72" t="str">
        <f>Riskregister!D54</f>
        <v>Late changes in requirements</v>
      </c>
      <c r="E54" s="72" t="str">
        <f>Riskregister!F54</f>
        <v>Resulting in - Failure to meet Desired Standards of Service, leading to expanded scope or work or re-work</v>
      </c>
      <c r="F54" s="89">
        <f>Riskregister!T54</f>
        <v>11</v>
      </c>
      <c r="G54" s="88">
        <f>Riskregister!M54</f>
        <v>24</v>
      </c>
      <c r="H54" s="88">
        <f>Riskregister!I54</f>
        <v>24</v>
      </c>
      <c r="I54" s="139">
        <f>[1]Riskprofile!I54</f>
        <v>24</v>
      </c>
      <c r="J54" s="65">
        <v>30</v>
      </c>
      <c r="K54" s="59">
        <v>30</v>
      </c>
      <c r="L54" s="59">
        <v>30</v>
      </c>
      <c r="M54" s="59">
        <v>30</v>
      </c>
      <c r="N54" s="59">
        <v>30</v>
      </c>
      <c r="O54" s="59">
        <v>30</v>
      </c>
      <c r="P54" s="59">
        <v>30</v>
      </c>
      <c r="Q54" s="59">
        <v>30</v>
      </c>
      <c r="R54" s="59">
        <v>30</v>
      </c>
      <c r="S54" s="59">
        <v>30</v>
      </c>
      <c r="T54" s="97">
        <v>11</v>
      </c>
      <c r="U54" s="62">
        <v>40</v>
      </c>
      <c r="V54" s="62">
        <v>40</v>
      </c>
      <c r="W54" s="62">
        <v>40</v>
      </c>
      <c r="X54" s="62">
        <v>40</v>
      </c>
      <c r="Y54" s="62">
        <v>40</v>
      </c>
      <c r="Z54" s="62">
        <v>40</v>
      </c>
      <c r="AA54" s="62">
        <v>40</v>
      </c>
      <c r="AB54" s="62">
        <v>40</v>
      </c>
      <c r="AC54" s="62">
        <v>40</v>
      </c>
      <c r="AD54" s="62">
        <v>40</v>
      </c>
      <c r="AE54" s="62">
        <v>40</v>
      </c>
      <c r="AF54" s="62">
        <v>40</v>
      </c>
      <c r="AG54" s="98">
        <v>24</v>
      </c>
      <c r="AH54" s="61">
        <v>60</v>
      </c>
      <c r="AI54" s="140" t="str">
        <f>Riskregister!O54</f>
        <v>Not yet decided</v>
      </c>
      <c r="AJ54" s="8">
        <f>Riskregister!Q54</f>
        <v>0</v>
      </c>
    </row>
    <row r="55" spans="1:36" ht="28.8" x14ac:dyDescent="0.3">
      <c r="A55" s="23">
        <f>Riskregister!A55</f>
        <v>50</v>
      </c>
      <c r="B55" s="23" t="str">
        <f>Riskregister!B55</f>
        <v>C</v>
      </c>
      <c r="C55" s="58" t="str">
        <f>Riskregister!C55</f>
        <v>Construction</v>
      </c>
      <c r="D55" s="72" t="str">
        <f>Riskregister!D55</f>
        <v>Late discovery of contaminated materials (e.g.. unknown tip sites, acid sulphate soils).</v>
      </c>
      <c r="E55" s="72" t="str">
        <f>Riskregister!F55</f>
        <v>Results in - delays and clean up costs</v>
      </c>
      <c r="F55" s="91">
        <f>Riskregister!T55</f>
        <v>10</v>
      </c>
      <c r="G55" s="92">
        <f>Riskregister!M55</f>
        <v>17</v>
      </c>
      <c r="H55" s="92">
        <f>Riskregister!I55</f>
        <v>17</v>
      </c>
      <c r="I55" s="139">
        <f>[1]Riskprofile!I55</f>
        <v>17</v>
      </c>
      <c r="J55" s="65">
        <v>30</v>
      </c>
      <c r="K55" s="59">
        <v>30</v>
      </c>
      <c r="L55" s="59">
        <v>30</v>
      </c>
      <c r="M55" s="59">
        <v>30</v>
      </c>
      <c r="N55" s="59">
        <v>30</v>
      </c>
      <c r="O55" s="59">
        <v>30</v>
      </c>
      <c r="P55" s="59">
        <v>30</v>
      </c>
      <c r="Q55" s="59">
        <v>30</v>
      </c>
      <c r="R55" s="59">
        <v>30</v>
      </c>
      <c r="S55" s="59">
        <v>10</v>
      </c>
      <c r="T55" s="62">
        <v>40</v>
      </c>
      <c r="U55" s="62">
        <v>40</v>
      </c>
      <c r="V55" s="62">
        <v>40</v>
      </c>
      <c r="W55" s="62">
        <v>40</v>
      </c>
      <c r="X55" s="62">
        <v>40</v>
      </c>
      <c r="Y55" s="62">
        <v>40</v>
      </c>
      <c r="Z55" s="99">
        <v>17</v>
      </c>
      <c r="AA55" s="59">
        <v>60</v>
      </c>
      <c r="AB55" s="59">
        <v>60</v>
      </c>
      <c r="AC55" s="59">
        <v>60</v>
      </c>
      <c r="AD55" s="59">
        <v>60</v>
      </c>
      <c r="AE55" s="59">
        <v>60</v>
      </c>
      <c r="AF55" s="59">
        <v>60</v>
      </c>
      <c r="AG55" s="59">
        <v>60</v>
      </c>
      <c r="AH55" s="61">
        <v>60</v>
      </c>
      <c r="AI55" s="140" t="str">
        <f>Riskregister!O55</f>
        <v>Not yet decided</v>
      </c>
      <c r="AJ55" s="8">
        <f>Riskregister!Q55</f>
        <v>0</v>
      </c>
    </row>
    <row r="56" spans="1:36" ht="28.8" x14ac:dyDescent="0.3">
      <c r="A56" s="23">
        <f>Riskregister!A56</f>
        <v>51</v>
      </c>
      <c r="B56" s="23" t="str">
        <f>Riskregister!B56</f>
        <v>C</v>
      </c>
      <c r="C56" s="58" t="str">
        <f>Riskregister!C56</f>
        <v>Construction</v>
      </c>
      <c r="D56" s="72" t="str">
        <f>Riskregister!D56</f>
        <v>Latent conditions (soft ground / contamination)</v>
      </c>
      <c r="E56" s="72" t="str">
        <f>Riskregister!F56</f>
        <v>Resulting in - Master planning impeded. Changes to design/construction technique.</v>
      </c>
      <c r="F56" s="89">
        <f>Riskregister!T56</f>
        <v>11</v>
      </c>
      <c r="G56" s="88">
        <f>Riskregister!M56</f>
        <v>23</v>
      </c>
      <c r="H56" s="88">
        <f>Riskregister!I56</f>
        <v>23</v>
      </c>
      <c r="I56" s="139">
        <f>[1]Riskprofile!I56</f>
        <v>23</v>
      </c>
      <c r="J56" s="65">
        <v>30</v>
      </c>
      <c r="K56" s="59">
        <v>30</v>
      </c>
      <c r="L56" s="59">
        <v>30</v>
      </c>
      <c r="M56" s="59">
        <v>30</v>
      </c>
      <c r="N56" s="59">
        <v>30</v>
      </c>
      <c r="O56" s="59">
        <v>30</v>
      </c>
      <c r="P56" s="59">
        <v>30</v>
      </c>
      <c r="Q56" s="59">
        <v>30</v>
      </c>
      <c r="R56" s="59">
        <v>30</v>
      </c>
      <c r="S56" s="59">
        <v>30</v>
      </c>
      <c r="T56" s="97">
        <v>11</v>
      </c>
      <c r="U56" s="62">
        <v>40</v>
      </c>
      <c r="V56" s="62">
        <v>40</v>
      </c>
      <c r="W56" s="62">
        <v>40</v>
      </c>
      <c r="X56" s="62">
        <v>40</v>
      </c>
      <c r="Y56" s="62">
        <v>40</v>
      </c>
      <c r="Z56" s="62">
        <v>40</v>
      </c>
      <c r="AA56" s="62">
        <v>40</v>
      </c>
      <c r="AB56" s="62">
        <v>40</v>
      </c>
      <c r="AC56" s="62">
        <v>40</v>
      </c>
      <c r="AD56" s="62">
        <v>40</v>
      </c>
      <c r="AE56" s="62">
        <v>40</v>
      </c>
      <c r="AF56" s="98">
        <v>23</v>
      </c>
      <c r="AG56" s="59">
        <v>60</v>
      </c>
      <c r="AH56" s="61">
        <v>60</v>
      </c>
      <c r="AI56" s="140" t="str">
        <f>Riskregister!O56</f>
        <v>Not yet decided</v>
      </c>
      <c r="AJ56" s="8">
        <f>Riskregister!Q56</f>
        <v>0</v>
      </c>
    </row>
    <row r="57" spans="1:36" ht="28.8" x14ac:dyDescent="0.3">
      <c r="A57" s="23">
        <f>Riskregister!A57</f>
        <v>52</v>
      </c>
      <c r="B57" s="23" t="str">
        <f>Riskregister!B57</f>
        <v>C</v>
      </c>
      <c r="C57" s="58" t="str">
        <f>Riskregister!C57</f>
        <v>Construction</v>
      </c>
      <c r="D57" s="72" t="str">
        <f>Riskregister!D57</f>
        <v>Major incident or accident during construction alerts media to wider issues</v>
      </c>
      <c r="E57" s="72" t="str">
        <f>Riskregister!F57</f>
        <v>Resulting in - worker or public safety hazard and loss of reputation</v>
      </c>
      <c r="F57" s="53">
        <f>Riskregister!T57</f>
        <v>6</v>
      </c>
      <c r="G57" s="88">
        <f>Riskregister!M57</f>
        <v>24</v>
      </c>
      <c r="H57" s="88">
        <f>Riskregister!I57</f>
        <v>24</v>
      </c>
      <c r="I57" s="139">
        <f>[1]Riskprofile!I57</f>
        <v>24</v>
      </c>
      <c r="J57" s="65">
        <v>30</v>
      </c>
      <c r="K57" s="59">
        <v>30</v>
      </c>
      <c r="L57" s="59">
        <v>30</v>
      </c>
      <c r="M57" s="59">
        <v>30</v>
      </c>
      <c r="N57" s="59">
        <v>30</v>
      </c>
      <c r="O57" s="64">
        <v>6</v>
      </c>
      <c r="P57" s="62">
        <v>40</v>
      </c>
      <c r="Q57" s="62">
        <v>40</v>
      </c>
      <c r="R57" s="62">
        <v>40</v>
      </c>
      <c r="S57" s="62">
        <v>40</v>
      </c>
      <c r="T57" s="62">
        <v>40</v>
      </c>
      <c r="U57" s="62">
        <v>40</v>
      </c>
      <c r="V57" s="62">
        <v>40</v>
      </c>
      <c r="W57" s="62">
        <v>40</v>
      </c>
      <c r="X57" s="62">
        <v>40</v>
      </c>
      <c r="Y57" s="62">
        <v>40</v>
      </c>
      <c r="Z57" s="62">
        <v>40</v>
      </c>
      <c r="AA57" s="62">
        <v>40</v>
      </c>
      <c r="AB57" s="62">
        <v>40</v>
      </c>
      <c r="AC57" s="62">
        <v>40</v>
      </c>
      <c r="AD57" s="62">
        <v>40</v>
      </c>
      <c r="AE57" s="62">
        <v>40</v>
      </c>
      <c r="AF57" s="62">
        <v>40</v>
      </c>
      <c r="AG57" s="98">
        <v>24</v>
      </c>
      <c r="AH57" s="61">
        <v>60</v>
      </c>
      <c r="AI57" s="140" t="str">
        <f>Riskregister!O57</f>
        <v>Not yet decided</v>
      </c>
      <c r="AJ57" s="8">
        <f>Riskregister!Q57</f>
        <v>0</v>
      </c>
    </row>
    <row r="58" spans="1:36" ht="28.8" x14ac:dyDescent="0.3">
      <c r="A58" s="23">
        <f>Riskregister!A58</f>
        <v>53</v>
      </c>
      <c r="B58" s="23" t="str">
        <f>Riskregister!B58</f>
        <v>C</v>
      </c>
      <c r="C58" s="58" t="str">
        <f>Riskregister!C58</f>
        <v>Construction</v>
      </c>
      <c r="D58" s="72" t="str">
        <f>Riskregister!D58</f>
        <v>Noise causes local community anger</v>
      </c>
      <c r="E58" s="72" t="str">
        <f>Riskregister!F58</f>
        <v>Resulting in - Public complaints and additional works to resolve the problem</v>
      </c>
      <c r="F58" s="53">
        <f>Riskregister!T58</f>
        <v>5</v>
      </c>
      <c r="G58" s="89">
        <f>Riskregister!M58</f>
        <v>12</v>
      </c>
      <c r="H58" s="54">
        <f>Riskregister!I58</f>
        <v>21</v>
      </c>
      <c r="I58" s="139">
        <f>[1]Riskprofile!I58</f>
        <v>12</v>
      </c>
      <c r="J58" s="65">
        <v>30</v>
      </c>
      <c r="K58" s="59">
        <v>30</v>
      </c>
      <c r="L58" s="59">
        <v>30</v>
      </c>
      <c r="M58" s="59">
        <v>30</v>
      </c>
      <c r="N58" s="64">
        <v>5</v>
      </c>
      <c r="O58" s="62">
        <v>40</v>
      </c>
      <c r="P58" s="62">
        <v>40</v>
      </c>
      <c r="Q58" s="62">
        <v>40</v>
      </c>
      <c r="R58" s="62">
        <v>40</v>
      </c>
      <c r="S58" s="62">
        <v>40</v>
      </c>
      <c r="T58" s="62">
        <v>40</v>
      </c>
      <c r="U58" s="97">
        <v>12</v>
      </c>
      <c r="V58" s="63">
        <v>50</v>
      </c>
      <c r="W58" s="63">
        <v>50</v>
      </c>
      <c r="X58" s="63">
        <v>50</v>
      </c>
      <c r="Y58" s="63">
        <v>50</v>
      </c>
      <c r="Z58" s="63">
        <v>50</v>
      </c>
      <c r="AA58" s="63">
        <v>50</v>
      </c>
      <c r="AB58" s="63">
        <v>50</v>
      </c>
      <c r="AC58" s="63">
        <v>50</v>
      </c>
      <c r="AD58" s="60">
        <v>21</v>
      </c>
      <c r="AE58" s="59">
        <v>60</v>
      </c>
      <c r="AF58" s="59">
        <v>60</v>
      </c>
      <c r="AG58" s="59">
        <v>60</v>
      </c>
      <c r="AH58" s="61">
        <v>60</v>
      </c>
      <c r="AI58" s="140" t="str">
        <f>Riskregister!O58</f>
        <v>Not yet decided</v>
      </c>
      <c r="AJ58" s="8">
        <f>Riskregister!Q58</f>
        <v>0</v>
      </c>
    </row>
    <row r="59" spans="1:36" ht="43.2" x14ac:dyDescent="0.3">
      <c r="A59" s="23">
        <f>Riskregister!A59</f>
        <v>54</v>
      </c>
      <c r="B59" s="23" t="str">
        <f>Riskregister!B59</f>
        <v>C</v>
      </c>
      <c r="C59" s="58" t="str">
        <f>Riskregister!C59</f>
        <v>Construction</v>
      </c>
      <c r="D59" s="72" t="str">
        <f>Riskregister!D59</f>
        <v>Operational and constructability smarts/needs/inputs not fully realised or not incorporated by Contractor. Detailed design cannot be effectively and efficiently constructed</v>
      </c>
      <c r="E59" s="72" t="str">
        <f>Riskregister!F59</f>
        <v>Resulting in - lost opportunity and / or mediocre solutions</v>
      </c>
      <c r="F59" s="53">
        <f>Riskregister!T59</f>
        <v>5</v>
      </c>
      <c r="G59" s="89">
        <f>Riskregister!M59</f>
        <v>12</v>
      </c>
      <c r="H59" s="54">
        <f>Riskregister!I59</f>
        <v>21</v>
      </c>
      <c r="I59" s="139">
        <f>[1]Riskprofile!I59</f>
        <v>12</v>
      </c>
      <c r="J59" s="65">
        <v>30</v>
      </c>
      <c r="K59" s="59">
        <v>30</v>
      </c>
      <c r="L59" s="59">
        <v>30</v>
      </c>
      <c r="M59" s="59">
        <v>30</v>
      </c>
      <c r="N59" s="64">
        <v>5</v>
      </c>
      <c r="O59" s="62">
        <v>40</v>
      </c>
      <c r="P59" s="62">
        <v>40</v>
      </c>
      <c r="Q59" s="62">
        <v>40</v>
      </c>
      <c r="R59" s="62">
        <v>40</v>
      </c>
      <c r="S59" s="62">
        <v>40</v>
      </c>
      <c r="T59" s="62">
        <v>40</v>
      </c>
      <c r="U59" s="97">
        <v>12</v>
      </c>
      <c r="V59" s="63">
        <v>50</v>
      </c>
      <c r="W59" s="63">
        <v>50</v>
      </c>
      <c r="X59" s="63">
        <v>50</v>
      </c>
      <c r="Y59" s="63">
        <v>50</v>
      </c>
      <c r="Z59" s="63">
        <v>50</v>
      </c>
      <c r="AA59" s="63">
        <v>50</v>
      </c>
      <c r="AB59" s="63">
        <v>50</v>
      </c>
      <c r="AC59" s="63">
        <v>50</v>
      </c>
      <c r="AD59" s="60">
        <v>21</v>
      </c>
      <c r="AE59" s="59">
        <v>60</v>
      </c>
      <c r="AF59" s="59">
        <v>60</v>
      </c>
      <c r="AG59" s="59">
        <v>60</v>
      </c>
      <c r="AH59" s="61">
        <v>60</v>
      </c>
      <c r="AI59" s="140" t="str">
        <f>Riskregister!O59</f>
        <v>Not yet decided</v>
      </c>
      <c r="AJ59" s="8">
        <f>Riskregister!Q59</f>
        <v>0</v>
      </c>
    </row>
    <row r="60" spans="1:36" ht="28.8" x14ac:dyDescent="0.3">
      <c r="A60" s="23">
        <f>Riskregister!A60</f>
        <v>55</v>
      </c>
      <c r="B60" s="23" t="str">
        <f>Riskregister!B60</f>
        <v>C</v>
      </c>
      <c r="C60" s="58" t="str">
        <f>Riskregister!C60</f>
        <v>Construction</v>
      </c>
      <c r="D60" s="72" t="str">
        <f>Riskregister!D60</f>
        <v>Poor and ineffective construction working causing damage to equipment and people</v>
      </c>
      <c r="E60" s="72" t="str">
        <f>Riskregister!F60</f>
        <v>Resulting in - damage to equipment, repairs and re-work.</v>
      </c>
      <c r="F60" s="89">
        <f>Riskregister!T60</f>
        <v>11</v>
      </c>
      <c r="G60" s="92">
        <f>Riskregister!M60</f>
        <v>17</v>
      </c>
      <c r="H60" s="88">
        <f>Riskregister!I60</f>
        <v>24</v>
      </c>
      <c r="I60" s="139">
        <f>[1]Riskprofile!I60</f>
        <v>17</v>
      </c>
      <c r="J60" s="65">
        <v>30</v>
      </c>
      <c r="K60" s="59">
        <v>30</v>
      </c>
      <c r="L60" s="59">
        <v>30</v>
      </c>
      <c r="M60" s="59">
        <v>30</v>
      </c>
      <c r="N60" s="59">
        <v>30</v>
      </c>
      <c r="O60" s="59">
        <v>30</v>
      </c>
      <c r="P60" s="59">
        <v>30</v>
      </c>
      <c r="Q60" s="59">
        <v>30</v>
      </c>
      <c r="R60" s="59">
        <v>30</v>
      </c>
      <c r="S60" s="59">
        <v>30</v>
      </c>
      <c r="T60" s="97">
        <v>11</v>
      </c>
      <c r="U60" s="62">
        <v>40</v>
      </c>
      <c r="V60" s="62">
        <v>40</v>
      </c>
      <c r="W60" s="62">
        <v>40</v>
      </c>
      <c r="X60" s="62">
        <v>40</v>
      </c>
      <c r="Y60" s="62">
        <v>40</v>
      </c>
      <c r="Z60" s="99">
        <v>17</v>
      </c>
      <c r="AA60" s="63">
        <v>50</v>
      </c>
      <c r="AB60" s="63">
        <v>50</v>
      </c>
      <c r="AC60" s="63">
        <v>50</v>
      </c>
      <c r="AD60" s="63">
        <v>50</v>
      </c>
      <c r="AE60" s="63">
        <v>50</v>
      </c>
      <c r="AF60" s="63">
        <v>50</v>
      </c>
      <c r="AG60" s="98">
        <v>24</v>
      </c>
      <c r="AH60" s="61">
        <v>60</v>
      </c>
      <c r="AI60" s="140" t="str">
        <f>Riskregister!O60</f>
        <v>Not yet decided</v>
      </c>
      <c r="AJ60" s="8">
        <f>Riskregister!Q60</f>
        <v>0</v>
      </c>
    </row>
    <row r="61" spans="1:36" ht="43.2" x14ac:dyDescent="0.3">
      <c r="A61" s="23">
        <f>Riskregister!A61</f>
        <v>56</v>
      </c>
      <c r="B61" s="23" t="str">
        <f>Riskregister!B61</f>
        <v>C</v>
      </c>
      <c r="C61" s="58" t="str">
        <f>Riskregister!C61</f>
        <v>Construction</v>
      </c>
      <c r="D61" s="72" t="str">
        <f>Riskregister!D61</f>
        <v xml:space="preserve">Poor quality work as pipe laying and plumbing contractors not adequately trained, accredited or properly subjected to pre-selection processes. </v>
      </c>
      <c r="E61" s="72" t="str">
        <f>Riskregister!F61</f>
        <v>Resulting in - Re-work to rectify faults. Loss of image for MW and its long term strategy</v>
      </c>
      <c r="F61" s="53">
        <f>Riskregister!T61</f>
        <v>5</v>
      </c>
      <c r="G61" s="89">
        <f>Riskregister!M61</f>
        <v>12</v>
      </c>
      <c r="H61" s="54">
        <f>Riskregister!I61</f>
        <v>21</v>
      </c>
      <c r="I61" s="139">
        <f>[1]Riskprofile!I61</f>
        <v>12</v>
      </c>
      <c r="J61" s="65">
        <v>30</v>
      </c>
      <c r="K61" s="59">
        <v>30</v>
      </c>
      <c r="L61" s="59">
        <v>30</v>
      </c>
      <c r="M61" s="59">
        <v>30</v>
      </c>
      <c r="N61" s="64">
        <v>5</v>
      </c>
      <c r="O61" s="62">
        <v>40</v>
      </c>
      <c r="P61" s="62">
        <v>40</v>
      </c>
      <c r="Q61" s="62">
        <v>40</v>
      </c>
      <c r="R61" s="62">
        <v>40</v>
      </c>
      <c r="S61" s="62">
        <v>40</v>
      </c>
      <c r="T61" s="62">
        <v>40</v>
      </c>
      <c r="U61" s="97">
        <v>12</v>
      </c>
      <c r="V61" s="63">
        <v>50</v>
      </c>
      <c r="W61" s="63">
        <v>50</v>
      </c>
      <c r="X61" s="63">
        <v>50</v>
      </c>
      <c r="Y61" s="63">
        <v>50</v>
      </c>
      <c r="Z61" s="63">
        <v>50</v>
      </c>
      <c r="AA61" s="63">
        <v>50</v>
      </c>
      <c r="AB61" s="63">
        <v>50</v>
      </c>
      <c r="AC61" s="63">
        <v>50</v>
      </c>
      <c r="AD61" s="60">
        <v>21</v>
      </c>
      <c r="AE61" s="59">
        <v>60</v>
      </c>
      <c r="AF61" s="59">
        <v>60</v>
      </c>
      <c r="AG61" s="59">
        <v>60</v>
      </c>
      <c r="AH61" s="61">
        <v>60</v>
      </c>
      <c r="AI61" s="140" t="str">
        <f>Riskregister!O61</f>
        <v>Not yet decided</v>
      </c>
      <c r="AJ61" s="8">
        <f>Riskregister!Q61</f>
        <v>0</v>
      </c>
    </row>
    <row r="62" spans="1:36" ht="43.2" x14ac:dyDescent="0.3">
      <c r="A62" s="23">
        <f>Riskregister!A62</f>
        <v>57</v>
      </c>
      <c r="B62" s="23" t="str">
        <f>Riskregister!B62</f>
        <v>C</v>
      </c>
      <c r="C62" s="58" t="str">
        <f>Riskregister!C62</f>
        <v>Construction</v>
      </c>
      <c r="D62" s="72" t="str">
        <f>Riskregister!D62</f>
        <v xml:space="preserve">Poor traffic management during construction disrupts schools or emergency services with increased potential for road traffic accidents </v>
      </c>
      <c r="E62" s="72" t="str">
        <f>Riskregister!F62</f>
        <v>Resulting in - adverse media publicity and/or death or serious injury</v>
      </c>
      <c r="F62" s="53">
        <f>Riskregister!T62</f>
        <v>5</v>
      </c>
      <c r="G62" s="89">
        <f>Riskregister!M62</f>
        <v>12</v>
      </c>
      <c r="H62" s="54">
        <f>Riskregister!I62</f>
        <v>21</v>
      </c>
      <c r="I62" s="139">
        <f>[1]Riskprofile!I62</f>
        <v>12</v>
      </c>
      <c r="J62" s="65">
        <v>30</v>
      </c>
      <c r="K62" s="59">
        <v>30</v>
      </c>
      <c r="L62" s="59">
        <v>30</v>
      </c>
      <c r="M62" s="59">
        <v>30</v>
      </c>
      <c r="N62" s="64">
        <v>5</v>
      </c>
      <c r="O62" s="62">
        <v>40</v>
      </c>
      <c r="P62" s="62">
        <v>40</v>
      </c>
      <c r="Q62" s="62">
        <v>40</v>
      </c>
      <c r="R62" s="62">
        <v>40</v>
      </c>
      <c r="S62" s="62">
        <v>40</v>
      </c>
      <c r="T62" s="62">
        <v>40</v>
      </c>
      <c r="U62" s="97">
        <v>12</v>
      </c>
      <c r="V62" s="63">
        <v>50</v>
      </c>
      <c r="W62" s="63">
        <v>50</v>
      </c>
      <c r="X62" s="63">
        <v>50</v>
      </c>
      <c r="Y62" s="63">
        <v>50</v>
      </c>
      <c r="Z62" s="63">
        <v>50</v>
      </c>
      <c r="AA62" s="63">
        <v>50</v>
      </c>
      <c r="AB62" s="63">
        <v>50</v>
      </c>
      <c r="AC62" s="63">
        <v>50</v>
      </c>
      <c r="AD62" s="60">
        <v>21</v>
      </c>
      <c r="AE62" s="59">
        <v>60</v>
      </c>
      <c r="AF62" s="59">
        <v>60</v>
      </c>
      <c r="AG62" s="59">
        <v>60</v>
      </c>
      <c r="AH62" s="61">
        <v>60</v>
      </c>
      <c r="AI62" s="140" t="str">
        <f>Riskregister!O62</f>
        <v>Not yet decided</v>
      </c>
      <c r="AJ62" s="8">
        <f>Riskregister!Q62</f>
        <v>0</v>
      </c>
    </row>
    <row r="63" spans="1:36" x14ac:dyDescent="0.3">
      <c r="A63" s="23">
        <f>Riskregister!A63</f>
        <v>58</v>
      </c>
      <c r="B63" s="23" t="str">
        <f>Riskregister!B63</f>
        <v>C</v>
      </c>
      <c r="C63" s="58" t="str">
        <f>Riskregister!C63</f>
        <v>Construction</v>
      </c>
      <c r="D63" s="72" t="str">
        <f>Riskregister!D63</f>
        <v>Poor workmanship – rework – disagreement on acceptable quality</v>
      </c>
      <c r="E63" s="72" t="str">
        <f>Riskregister!F63</f>
        <v xml:space="preserve">Causing the delay </v>
      </c>
      <c r="F63" s="89">
        <f>Riskregister!T63</f>
        <v>11</v>
      </c>
      <c r="G63" s="92">
        <f>Riskregister!M63</f>
        <v>17</v>
      </c>
      <c r="H63" s="88">
        <f>Riskregister!I63</f>
        <v>24</v>
      </c>
      <c r="I63" s="139">
        <f>[1]Riskprofile!I63</f>
        <v>17</v>
      </c>
      <c r="J63" s="65">
        <v>30</v>
      </c>
      <c r="K63" s="59">
        <v>30</v>
      </c>
      <c r="L63" s="59">
        <v>30</v>
      </c>
      <c r="M63" s="59">
        <v>30</v>
      </c>
      <c r="N63" s="59">
        <v>30</v>
      </c>
      <c r="O63" s="59">
        <v>30</v>
      </c>
      <c r="P63" s="59">
        <v>30</v>
      </c>
      <c r="Q63" s="59">
        <v>30</v>
      </c>
      <c r="R63" s="59">
        <v>30</v>
      </c>
      <c r="S63" s="59">
        <v>30</v>
      </c>
      <c r="T63" s="97">
        <v>11</v>
      </c>
      <c r="U63" s="62">
        <v>40</v>
      </c>
      <c r="V63" s="62">
        <v>40</v>
      </c>
      <c r="W63" s="62">
        <v>40</v>
      </c>
      <c r="X63" s="62">
        <v>40</v>
      </c>
      <c r="Y63" s="62">
        <v>40</v>
      </c>
      <c r="Z63" s="99">
        <v>17</v>
      </c>
      <c r="AA63" s="63">
        <v>50</v>
      </c>
      <c r="AB63" s="63">
        <v>50</v>
      </c>
      <c r="AC63" s="63">
        <v>50</v>
      </c>
      <c r="AD63" s="63">
        <v>50</v>
      </c>
      <c r="AE63" s="63">
        <v>50</v>
      </c>
      <c r="AF63" s="63">
        <v>50</v>
      </c>
      <c r="AG63" s="98">
        <v>24</v>
      </c>
      <c r="AH63" s="61">
        <v>60</v>
      </c>
      <c r="AI63" s="140" t="str">
        <f>Riskregister!O63</f>
        <v>Not yet decided</v>
      </c>
      <c r="AJ63" s="8">
        <f>Riskregister!Q63</f>
        <v>0</v>
      </c>
    </row>
    <row r="64" spans="1:36" x14ac:dyDescent="0.3">
      <c r="A64" s="23">
        <f>Riskregister!A64</f>
        <v>59</v>
      </c>
      <c r="B64" s="23" t="str">
        <f>Riskregister!B64</f>
        <v>C</v>
      </c>
      <c r="C64" s="58" t="str">
        <f>Riskregister!C64</f>
        <v>Construction</v>
      </c>
      <c r="D64" s="72" t="str">
        <f>Riskregister!D64</f>
        <v>Problems gaining access  for the purposes of construction</v>
      </c>
      <c r="E64" s="72" t="str">
        <f>Riskregister!F64</f>
        <v>Resulting in - delays with associated increased costs</v>
      </c>
      <c r="F64" s="90">
        <f>Riskregister!T64</f>
        <v>3</v>
      </c>
      <c r="G64" s="89">
        <f>Riskregister!M64</f>
        <v>11</v>
      </c>
      <c r="H64" s="92">
        <f>Riskregister!I64</f>
        <v>17</v>
      </c>
      <c r="I64" s="139">
        <f>[1]Riskprofile!I64</f>
        <v>11</v>
      </c>
      <c r="J64" s="65">
        <v>30</v>
      </c>
      <c r="K64" s="59">
        <v>30</v>
      </c>
      <c r="L64" s="144">
        <v>3</v>
      </c>
      <c r="M64" s="62">
        <v>40</v>
      </c>
      <c r="N64" s="62">
        <v>40</v>
      </c>
      <c r="O64" s="62">
        <v>40</v>
      </c>
      <c r="P64" s="62">
        <v>40</v>
      </c>
      <c r="Q64" s="62">
        <v>40</v>
      </c>
      <c r="R64" s="62">
        <v>40</v>
      </c>
      <c r="S64" s="62">
        <v>40</v>
      </c>
      <c r="T64" s="97">
        <v>11</v>
      </c>
      <c r="U64" s="63">
        <v>50</v>
      </c>
      <c r="V64" s="63">
        <v>50</v>
      </c>
      <c r="W64" s="63">
        <v>50</v>
      </c>
      <c r="X64" s="63">
        <v>50</v>
      </c>
      <c r="Y64" s="63">
        <v>50</v>
      </c>
      <c r="Z64" s="99">
        <v>17</v>
      </c>
      <c r="AA64" s="59">
        <v>60</v>
      </c>
      <c r="AB64" s="59">
        <v>60</v>
      </c>
      <c r="AC64" s="59">
        <v>60</v>
      </c>
      <c r="AD64" s="59">
        <v>60</v>
      </c>
      <c r="AE64" s="59">
        <v>60</v>
      </c>
      <c r="AF64" s="59">
        <v>60</v>
      </c>
      <c r="AG64" s="59">
        <v>60</v>
      </c>
      <c r="AH64" s="61">
        <v>60</v>
      </c>
      <c r="AI64" s="140" t="str">
        <f>Riskregister!O64</f>
        <v>Not yet decided</v>
      </c>
      <c r="AJ64" s="8">
        <f>Riskregister!Q64</f>
        <v>0</v>
      </c>
    </row>
    <row r="65" spans="1:36" ht="43.2" x14ac:dyDescent="0.3">
      <c r="A65" s="23">
        <f>Riskregister!A65</f>
        <v>60</v>
      </c>
      <c r="B65" s="23" t="str">
        <f>Riskregister!B65</f>
        <v>C</v>
      </c>
      <c r="C65" s="58" t="str">
        <f>Riskregister!C65</f>
        <v>Construction</v>
      </c>
      <c r="D65" s="72" t="str">
        <f>Riskregister!D65</f>
        <v xml:space="preserve">Problems with network hydraulics causes water hammer or cavitation effects and possible damage to infrastructure and or reticulation </v>
      </c>
      <c r="E65" s="72" t="str">
        <f>Riskregister!F65</f>
        <v>Resulting in - loss and damage to site materials and equipment.</v>
      </c>
      <c r="F65" s="53">
        <f>Riskregister!T65</f>
        <v>6</v>
      </c>
      <c r="G65" s="54">
        <f>Riskregister!M65</f>
        <v>21</v>
      </c>
      <c r="H65" s="54">
        <f>Riskregister!I65</f>
        <v>21</v>
      </c>
      <c r="I65" s="139">
        <f>[1]Riskprofile!I65</f>
        <v>21</v>
      </c>
      <c r="J65" s="65">
        <v>30</v>
      </c>
      <c r="K65" s="59">
        <v>30</v>
      </c>
      <c r="L65" s="59">
        <v>30</v>
      </c>
      <c r="M65" s="59">
        <v>30</v>
      </c>
      <c r="N65" s="59">
        <v>30</v>
      </c>
      <c r="O65" s="64">
        <v>6</v>
      </c>
      <c r="P65" s="62">
        <v>40</v>
      </c>
      <c r="Q65" s="62">
        <v>40</v>
      </c>
      <c r="R65" s="62">
        <v>40</v>
      </c>
      <c r="S65" s="62">
        <v>40</v>
      </c>
      <c r="T65" s="62">
        <v>40</v>
      </c>
      <c r="U65" s="62">
        <v>40</v>
      </c>
      <c r="V65" s="62">
        <v>40</v>
      </c>
      <c r="W65" s="62">
        <v>40</v>
      </c>
      <c r="X65" s="62">
        <v>40</v>
      </c>
      <c r="Y65" s="62">
        <v>40</v>
      </c>
      <c r="Z65" s="62">
        <v>40</v>
      </c>
      <c r="AA65" s="62">
        <v>40</v>
      </c>
      <c r="AB65" s="62">
        <v>40</v>
      </c>
      <c r="AC65" s="62">
        <v>40</v>
      </c>
      <c r="AD65" s="60">
        <v>21</v>
      </c>
      <c r="AE65" s="59">
        <v>60</v>
      </c>
      <c r="AF65" s="59">
        <v>60</v>
      </c>
      <c r="AG65" s="59">
        <v>60</v>
      </c>
      <c r="AH65" s="61">
        <v>60</v>
      </c>
      <c r="AI65" s="140" t="str">
        <f>Riskregister!O65</f>
        <v>Not yet decided</v>
      </c>
      <c r="AJ65" s="8">
        <f>Riskregister!Q65</f>
        <v>0</v>
      </c>
    </row>
    <row r="66" spans="1:36" ht="28.8" x14ac:dyDescent="0.3">
      <c r="A66" s="23">
        <f>Riskregister!A66</f>
        <v>61</v>
      </c>
      <c r="B66" s="23" t="str">
        <f>Riskregister!B66</f>
        <v>C</v>
      </c>
      <c r="C66" s="58" t="str">
        <f>Riskregister!C66</f>
        <v>Construction</v>
      </c>
      <c r="D66" s="72" t="str">
        <f>Riskregister!D66</f>
        <v>Process control system inadequate – cannot cope with operating conditions experienced</v>
      </c>
      <c r="E66" s="72" t="str">
        <f>Riskregister!F66</f>
        <v>Resulting in - Non-optimal system working and high failure rates  (very risky)</v>
      </c>
      <c r="F66" s="89">
        <f>Riskregister!T66</f>
        <v>12</v>
      </c>
      <c r="G66" s="92">
        <f>Riskregister!M66</f>
        <v>17</v>
      </c>
      <c r="H66" s="88">
        <f>Riskregister!I66</f>
        <v>24</v>
      </c>
      <c r="I66" s="139">
        <f>[1]Riskprofile!I66</f>
        <v>17</v>
      </c>
      <c r="J66" s="65">
        <v>30</v>
      </c>
      <c r="K66" s="59">
        <v>30</v>
      </c>
      <c r="L66" s="59">
        <v>30</v>
      </c>
      <c r="M66" s="59">
        <v>30</v>
      </c>
      <c r="N66" s="59">
        <v>30</v>
      </c>
      <c r="O66" s="59">
        <v>30</v>
      </c>
      <c r="P66" s="59">
        <v>30</v>
      </c>
      <c r="Q66" s="59">
        <v>30</v>
      </c>
      <c r="R66" s="59">
        <v>30</v>
      </c>
      <c r="S66" s="59">
        <v>30</v>
      </c>
      <c r="T66" s="59">
        <v>30</v>
      </c>
      <c r="U66" s="97">
        <v>12</v>
      </c>
      <c r="V66" s="62">
        <v>40</v>
      </c>
      <c r="W66" s="62">
        <v>40</v>
      </c>
      <c r="X66" s="62">
        <v>40</v>
      </c>
      <c r="Y66" s="62">
        <v>40</v>
      </c>
      <c r="Z66" s="99">
        <v>17</v>
      </c>
      <c r="AA66" s="63">
        <v>50</v>
      </c>
      <c r="AB66" s="63">
        <v>50</v>
      </c>
      <c r="AC66" s="63">
        <v>50</v>
      </c>
      <c r="AD66" s="63">
        <v>50</v>
      </c>
      <c r="AE66" s="63">
        <v>50</v>
      </c>
      <c r="AF66" s="63">
        <v>50</v>
      </c>
      <c r="AG66" s="98">
        <v>24</v>
      </c>
      <c r="AH66" s="61">
        <v>60</v>
      </c>
      <c r="AI66" s="140" t="str">
        <f>Riskregister!O66</f>
        <v>Not yet decided</v>
      </c>
      <c r="AJ66" s="8">
        <f>Riskregister!Q66</f>
        <v>0</v>
      </c>
    </row>
    <row r="67" spans="1:36" ht="28.8" x14ac:dyDescent="0.3">
      <c r="A67" s="23">
        <f>Riskregister!A67</f>
        <v>62</v>
      </c>
      <c r="B67" s="23" t="str">
        <f>Riskregister!B67</f>
        <v>C</v>
      </c>
      <c r="C67" s="58" t="str">
        <f>Riskregister!C67</f>
        <v>Construction</v>
      </c>
      <c r="D67" s="72" t="str">
        <f>Riskregister!D67</f>
        <v>Pump vibration excessive in one or more pumping stations</v>
      </c>
      <c r="E67" s="72" t="str">
        <f>Riskregister!F67</f>
        <v>Resulting in - additional costs to rectify the problem, delays in commissioning and hand over.</v>
      </c>
      <c r="F67" s="90">
        <f>Riskregister!T67</f>
        <v>2</v>
      </c>
      <c r="G67" s="53">
        <f>Riskregister!M67</f>
        <v>5</v>
      </c>
      <c r="H67" s="89">
        <f>Riskregister!I67</f>
        <v>12</v>
      </c>
      <c r="I67" s="139">
        <f>[1]Riskprofile!I67</f>
        <v>5</v>
      </c>
      <c r="J67" s="65">
        <v>30</v>
      </c>
      <c r="K67" s="144">
        <v>2</v>
      </c>
      <c r="L67" s="62">
        <v>40</v>
      </c>
      <c r="M67" s="62">
        <v>40</v>
      </c>
      <c r="N67" s="64">
        <v>5</v>
      </c>
      <c r="O67" s="63">
        <v>50</v>
      </c>
      <c r="P67" s="63">
        <v>50</v>
      </c>
      <c r="Q67" s="63">
        <v>50</v>
      </c>
      <c r="R67" s="63">
        <v>50</v>
      </c>
      <c r="S67" s="63">
        <v>50</v>
      </c>
      <c r="T67" s="63">
        <v>50</v>
      </c>
      <c r="U67" s="97">
        <v>12</v>
      </c>
      <c r="V67" s="59">
        <v>60</v>
      </c>
      <c r="W67" s="59">
        <v>60</v>
      </c>
      <c r="X67" s="59">
        <v>60</v>
      </c>
      <c r="Y67" s="59">
        <v>60</v>
      </c>
      <c r="Z67" s="59">
        <v>60</v>
      </c>
      <c r="AA67" s="59">
        <v>60</v>
      </c>
      <c r="AB67" s="59">
        <v>60</v>
      </c>
      <c r="AC67" s="59">
        <v>60</v>
      </c>
      <c r="AD67" s="59">
        <v>60</v>
      </c>
      <c r="AE67" s="59">
        <v>60</v>
      </c>
      <c r="AF67" s="59">
        <v>60</v>
      </c>
      <c r="AG67" s="59">
        <v>60</v>
      </c>
      <c r="AH67" s="61">
        <v>60</v>
      </c>
      <c r="AI67" s="140" t="str">
        <f>Riskregister!O67</f>
        <v>Not yet decided</v>
      </c>
      <c r="AJ67" s="8">
        <f>Riskregister!Q67</f>
        <v>0</v>
      </c>
    </row>
    <row r="68" spans="1:36" x14ac:dyDescent="0.3">
      <c r="A68" s="23">
        <f>Riskregister!A68</f>
        <v>63</v>
      </c>
      <c r="B68" s="23" t="str">
        <f>Riskregister!B68</f>
        <v>C</v>
      </c>
      <c r="C68" s="58" t="str">
        <f>Riskregister!C68</f>
        <v>Construction</v>
      </c>
      <c r="D68" s="72" t="str">
        <f>Riskregister!D68</f>
        <v>Time and cost pressures may lead to short cuts in quality aspects</v>
      </c>
      <c r="E68" s="72">
        <f>Riskregister!F68</f>
        <v>0</v>
      </c>
      <c r="F68" s="53">
        <f>Riskregister!T68</f>
        <v>6</v>
      </c>
      <c r="G68" s="54">
        <f>Riskregister!M68</f>
        <v>21</v>
      </c>
      <c r="H68" s="88">
        <f>Riskregister!I68</f>
        <v>25</v>
      </c>
      <c r="I68" s="139">
        <f>[1]Riskprofile!I68</f>
        <v>21</v>
      </c>
      <c r="J68" s="65">
        <v>30</v>
      </c>
      <c r="K68" s="59">
        <v>30</v>
      </c>
      <c r="L68" s="59">
        <v>30</v>
      </c>
      <c r="M68" s="59">
        <v>30</v>
      </c>
      <c r="N68" s="59">
        <v>30</v>
      </c>
      <c r="O68" s="64">
        <v>6</v>
      </c>
      <c r="P68" s="62">
        <v>40</v>
      </c>
      <c r="Q68" s="62">
        <v>40</v>
      </c>
      <c r="R68" s="62">
        <v>40</v>
      </c>
      <c r="S68" s="62">
        <v>40</v>
      </c>
      <c r="T68" s="62">
        <v>40</v>
      </c>
      <c r="U68" s="62">
        <v>40</v>
      </c>
      <c r="V68" s="62">
        <v>40</v>
      </c>
      <c r="W68" s="62">
        <v>40</v>
      </c>
      <c r="X68" s="62">
        <v>40</v>
      </c>
      <c r="Y68" s="62">
        <v>40</v>
      </c>
      <c r="Z68" s="62">
        <v>40</v>
      </c>
      <c r="AA68" s="62">
        <v>40</v>
      </c>
      <c r="AB68" s="62">
        <v>40</v>
      </c>
      <c r="AC68" s="62">
        <v>40</v>
      </c>
      <c r="AD68" s="60">
        <v>21</v>
      </c>
      <c r="AE68" s="63">
        <v>50</v>
      </c>
      <c r="AF68" s="63">
        <v>50</v>
      </c>
      <c r="AG68" s="63">
        <v>50</v>
      </c>
      <c r="AH68" s="102">
        <v>25</v>
      </c>
      <c r="AI68" s="140" t="str">
        <f>Riskregister!O68</f>
        <v>Not yet decided</v>
      </c>
      <c r="AJ68" s="8">
        <f>Riskregister!Q68</f>
        <v>0</v>
      </c>
    </row>
    <row r="69" spans="1:36" x14ac:dyDescent="0.3">
      <c r="A69" s="23">
        <f>Riskregister!A69</f>
        <v>64</v>
      </c>
      <c r="B69" s="23" t="str">
        <f>Riskregister!B69</f>
        <v>C</v>
      </c>
      <c r="C69" s="58" t="str">
        <f>Riskregister!C69</f>
        <v>Construction</v>
      </c>
      <c r="D69" s="72" t="str">
        <f>Riskregister!D69</f>
        <v>Trespass, sabotage, theft and/or vandalism</v>
      </c>
      <c r="E69" s="72" t="str">
        <f>Riskregister!F69</f>
        <v xml:space="preserve">Resulting in - repair costs and delays awaiting spares </v>
      </c>
      <c r="F69" s="89">
        <f>Riskregister!T69</f>
        <v>11</v>
      </c>
      <c r="G69" s="92">
        <f>Riskregister!M69</f>
        <v>17</v>
      </c>
      <c r="H69" s="88">
        <f>Riskregister!I69</f>
        <v>24</v>
      </c>
      <c r="I69" s="139">
        <f>[1]Riskprofile!I69</f>
        <v>17</v>
      </c>
      <c r="J69" s="65">
        <v>30</v>
      </c>
      <c r="K69" s="59">
        <v>30</v>
      </c>
      <c r="L69" s="59">
        <v>30</v>
      </c>
      <c r="M69" s="59">
        <v>30</v>
      </c>
      <c r="N69" s="59">
        <v>30</v>
      </c>
      <c r="O69" s="59">
        <v>30</v>
      </c>
      <c r="P69" s="59">
        <v>30</v>
      </c>
      <c r="Q69" s="59">
        <v>30</v>
      </c>
      <c r="R69" s="59">
        <v>30</v>
      </c>
      <c r="S69" s="59">
        <v>30</v>
      </c>
      <c r="T69" s="97">
        <v>11</v>
      </c>
      <c r="U69" s="62">
        <v>40</v>
      </c>
      <c r="V69" s="62">
        <v>40</v>
      </c>
      <c r="W69" s="62">
        <v>40</v>
      </c>
      <c r="X69" s="62">
        <v>40</v>
      </c>
      <c r="Y69" s="62">
        <v>40</v>
      </c>
      <c r="Z69" s="99">
        <v>17</v>
      </c>
      <c r="AA69" s="63">
        <v>50</v>
      </c>
      <c r="AB69" s="63">
        <v>50</v>
      </c>
      <c r="AC69" s="63">
        <v>50</v>
      </c>
      <c r="AD69" s="63">
        <v>50</v>
      </c>
      <c r="AE69" s="63">
        <v>50</v>
      </c>
      <c r="AF69" s="63">
        <v>50</v>
      </c>
      <c r="AG69" s="98">
        <v>24</v>
      </c>
      <c r="AH69" s="61">
        <v>60</v>
      </c>
      <c r="AI69" s="140" t="str">
        <f>Riskregister!O69</f>
        <v>Not yet decided</v>
      </c>
      <c r="AJ69" s="8">
        <f>Riskregister!Q69</f>
        <v>0</v>
      </c>
    </row>
    <row r="70" spans="1:36" ht="72" x14ac:dyDescent="0.3">
      <c r="A70" s="23">
        <f>Riskregister!A70</f>
        <v>65</v>
      </c>
      <c r="B70" s="23" t="str">
        <f>Riskregister!B70</f>
        <v>C</v>
      </c>
      <c r="C70" s="58" t="str">
        <f>Riskregister!C70</f>
        <v>Construction</v>
      </c>
      <c r="D70" s="72" t="str">
        <f>Riskregister!D70</f>
        <v xml:space="preserve">Under estimate in the work involved </v>
      </c>
      <c r="E70" s="72" t="str">
        <f>Riskregister!F70</f>
        <v>Resulting in - financial impact to Alliance or operational delays/inadequacies. Difficulty establishing the changes required, poor process or strategy development, poor alignment with business objectives or operating needs. Expanded work scope and increased costs to resolve change management problems</v>
      </c>
      <c r="F70" s="53">
        <f>Riskregister!T70</f>
        <v>6</v>
      </c>
      <c r="G70" s="54">
        <f>Riskregister!M70</f>
        <v>21</v>
      </c>
      <c r="H70" s="88">
        <f>Riskregister!I70</f>
        <v>25</v>
      </c>
      <c r="I70" s="139">
        <f>[1]Riskprofile!I70</f>
        <v>21</v>
      </c>
      <c r="J70" s="65">
        <v>30</v>
      </c>
      <c r="K70" s="59">
        <v>30</v>
      </c>
      <c r="L70" s="59">
        <v>30</v>
      </c>
      <c r="M70" s="59">
        <v>30</v>
      </c>
      <c r="N70" s="59">
        <v>30</v>
      </c>
      <c r="O70" s="64">
        <v>6</v>
      </c>
      <c r="P70" s="62">
        <v>40</v>
      </c>
      <c r="Q70" s="62">
        <v>40</v>
      </c>
      <c r="R70" s="62">
        <v>40</v>
      </c>
      <c r="S70" s="62">
        <v>40</v>
      </c>
      <c r="T70" s="62">
        <v>40</v>
      </c>
      <c r="U70" s="62">
        <v>40</v>
      </c>
      <c r="V70" s="62">
        <v>40</v>
      </c>
      <c r="W70" s="62">
        <v>40</v>
      </c>
      <c r="X70" s="62">
        <v>40</v>
      </c>
      <c r="Y70" s="62">
        <v>40</v>
      </c>
      <c r="Z70" s="62">
        <v>40</v>
      </c>
      <c r="AA70" s="62">
        <v>40</v>
      </c>
      <c r="AB70" s="62">
        <v>40</v>
      </c>
      <c r="AC70" s="62">
        <v>40</v>
      </c>
      <c r="AD70" s="60">
        <v>21</v>
      </c>
      <c r="AE70" s="63">
        <v>50</v>
      </c>
      <c r="AF70" s="63">
        <v>50</v>
      </c>
      <c r="AG70" s="63">
        <v>50</v>
      </c>
      <c r="AH70" s="102">
        <v>25</v>
      </c>
      <c r="AI70" s="140" t="str">
        <f>Riskregister!O70</f>
        <v>Not yet decided</v>
      </c>
      <c r="AJ70" s="8">
        <f>Riskregister!Q70</f>
        <v>0</v>
      </c>
    </row>
    <row r="71" spans="1:36" ht="28.8" x14ac:dyDescent="0.3">
      <c r="A71" s="23">
        <f>Riskregister!A71</f>
        <v>66</v>
      </c>
      <c r="B71" s="23" t="str">
        <f>Riskregister!B71</f>
        <v>C</v>
      </c>
      <c r="C71" s="58" t="str">
        <f>Riskregister!C71</f>
        <v>Construction</v>
      </c>
      <c r="D71" s="72" t="str">
        <f>Riskregister!D71</f>
        <v>Unforeseen  difficulties in access.</v>
      </c>
      <c r="E71" s="72" t="str">
        <f>Riskregister!F71</f>
        <v>Resulting in - difficult working conditions, causing delay and increased costs</v>
      </c>
      <c r="F71" s="53">
        <f>Riskregister!T71</f>
        <v>6</v>
      </c>
      <c r="G71" s="54">
        <f>Riskregister!M71</f>
        <v>21</v>
      </c>
      <c r="H71" s="88">
        <f>Riskregister!I71</f>
        <v>25</v>
      </c>
      <c r="I71" s="139">
        <f>[1]Riskprofile!I71</f>
        <v>21</v>
      </c>
      <c r="J71" s="65">
        <v>30</v>
      </c>
      <c r="K71" s="59">
        <v>30</v>
      </c>
      <c r="L71" s="59">
        <v>30</v>
      </c>
      <c r="M71" s="59">
        <v>30</v>
      </c>
      <c r="N71" s="59">
        <v>30</v>
      </c>
      <c r="O71" s="64">
        <v>6</v>
      </c>
      <c r="P71" s="62">
        <v>40</v>
      </c>
      <c r="Q71" s="62">
        <v>40</v>
      </c>
      <c r="R71" s="62">
        <v>40</v>
      </c>
      <c r="S71" s="62">
        <v>40</v>
      </c>
      <c r="T71" s="62">
        <v>40</v>
      </c>
      <c r="U71" s="62">
        <v>40</v>
      </c>
      <c r="V71" s="62">
        <v>40</v>
      </c>
      <c r="W71" s="62">
        <v>40</v>
      </c>
      <c r="X71" s="62">
        <v>40</v>
      </c>
      <c r="Y71" s="62">
        <v>40</v>
      </c>
      <c r="Z71" s="62">
        <v>40</v>
      </c>
      <c r="AA71" s="62">
        <v>40</v>
      </c>
      <c r="AB71" s="62">
        <v>40</v>
      </c>
      <c r="AC71" s="62">
        <v>40</v>
      </c>
      <c r="AD71" s="60">
        <v>21</v>
      </c>
      <c r="AE71" s="63">
        <v>50</v>
      </c>
      <c r="AF71" s="63">
        <v>50</v>
      </c>
      <c r="AG71" s="63">
        <v>50</v>
      </c>
      <c r="AH71" s="102">
        <v>25</v>
      </c>
      <c r="AI71" s="140" t="str">
        <f>Riskregister!O71</f>
        <v>Not yet decided</v>
      </c>
      <c r="AJ71" s="8">
        <f>Riskregister!Q71</f>
        <v>0</v>
      </c>
    </row>
    <row r="72" spans="1:36" ht="28.8" x14ac:dyDescent="0.3">
      <c r="A72" s="23">
        <f>Riskregister!A72</f>
        <v>67</v>
      </c>
      <c r="B72" s="23" t="str">
        <f>Riskregister!B72</f>
        <v>C</v>
      </c>
      <c r="C72" s="58" t="str">
        <f>Riskregister!C72</f>
        <v>Construction</v>
      </c>
      <c r="D72" s="72" t="str">
        <f>Riskregister!D72</f>
        <v>Unforeseen need to re-align pipeline routes</v>
      </c>
      <c r="E72" s="72" t="str">
        <f>Riskregister!F72</f>
        <v>Resulting in - protracted legal proceedings, re-alignment of routes, delays and increased cost</v>
      </c>
      <c r="F72" s="53">
        <f>Riskregister!T72</f>
        <v>6</v>
      </c>
      <c r="G72" s="54">
        <f>Riskregister!M72</f>
        <v>21</v>
      </c>
      <c r="H72" s="54">
        <f>Riskregister!I72</f>
        <v>21</v>
      </c>
      <c r="I72" s="139">
        <f>[1]Riskprofile!I72</f>
        <v>21</v>
      </c>
      <c r="J72" s="65">
        <v>30</v>
      </c>
      <c r="K72" s="59">
        <v>30</v>
      </c>
      <c r="L72" s="59">
        <v>30</v>
      </c>
      <c r="M72" s="59">
        <v>30</v>
      </c>
      <c r="N72" s="59">
        <v>30</v>
      </c>
      <c r="O72" s="64">
        <v>6</v>
      </c>
      <c r="P72" s="62">
        <v>40</v>
      </c>
      <c r="Q72" s="62">
        <v>40</v>
      </c>
      <c r="R72" s="62">
        <v>40</v>
      </c>
      <c r="S72" s="62">
        <v>40</v>
      </c>
      <c r="T72" s="62">
        <v>40</v>
      </c>
      <c r="U72" s="62">
        <v>40</v>
      </c>
      <c r="V72" s="62">
        <v>40</v>
      </c>
      <c r="W72" s="62">
        <v>40</v>
      </c>
      <c r="X72" s="62">
        <v>40</v>
      </c>
      <c r="Y72" s="62">
        <v>40</v>
      </c>
      <c r="Z72" s="62">
        <v>40</v>
      </c>
      <c r="AA72" s="62">
        <v>40</v>
      </c>
      <c r="AB72" s="62">
        <v>40</v>
      </c>
      <c r="AC72" s="62">
        <v>40</v>
      </c>
      <c r="AD72" s="60">
        <v>21</v>
      </c>
      <c r="AE72" s="59">
        <v>60</v>
      </c>
      <c r="AF72" s="59">
        <v>60</v>
      </c>
      <c r="AG72" s="59">
        <v>60</v>
      </c>
      <c r="AH72" s="61">
        <v>60</v>
      </c>
      <c r="AI72" s="140" t="str">
        <f>Riskregister!O72</f>
        <v>Not yet decided</v>
      </c>
      <c r="AJ72" s="8">
        <f>Riskregister!Q72</f>
        <v>0</v>
      </c>
    </row>
    <row r="73" spans="1:36" x14ac:dyDescent="0.3">
      <c r="A73" s="23">
        <f>Riskregister!A73</f>
        <v>68</v>
      </c>
      <c r="B73" s="23" t="str">
        <f>Riskregister!B73</f>
        <v>C</v>
      </c>
      <c r="C73" s="58" t="str">
        <f>Riskregister!C73</f>
        <v>Construction</v>
      </c>
      <c r="D73" s="72" t="str">
        <f>Riskregister!D73</f>
        <v>Unforeseen need to upgrade roads for construction traffic</v>
      </c>
      <c r="E73" s="72" t="str">
        <f>Riskregister!F73</f>
        <v>Resulting in - New cost chain</v>
      </c>
      <c r="F73" s="53">
        <f>Riskregister!T73</f>
        <v>5</v>
      </c>
      <c r="G73" s="88">
        <f>Riskregister!M73</f>
        <v>23</v>
      </c>
      <c r="H73" s="88">
        <f>Riskregister!I73</f>
        <v>23</v>
      </c>
      <c r="I73" s="139">
        <f>[1]Riskprofile!I73</f>
        <v>23</v>
      </c>
      <c r="J73" s="65">
        <v>30</v>
      </c>
      <c r="K73" s="59">
        <v>30</v>
      </c>
      <c r="L73" s="59">
        <v>30</v>
      </c>
      <c r="M73" s="59">
        <v>30</v>
      </c>
      <c r="N73" s="64">
        <v>5</v>
      </c>
      <c r="O73" s="62">
        <v>40</v>
      </c>
      <c r="P73" s="62">
        <v>40</v>
      </c>
      <c r="Q73" s="62">
        <v>40</v>
      </c>
      <c r="R73" s="62">
        <v>40</v>
      </c>
      <c r="S73" s="62">
        <v>40</v>
      </c>
      <c r="T73" s="62">
        <v>40</v>
      </c>
      <c r="U73" s="62">
        <v>40</v>
      </c>
      <c r="V73" s="62">
        <v>40</v>
      </c>
      <c r="W73" s="62">
        <v>40</v>
      </c>
      <c r="X73" s="62">
        <v>40</v>
      </c>
      <c r="Y73" s="62">
        <v>40</v>
      </c>
      <c r="Z73" s="62">
        <v>40</v>
      </c>
      <c r="AA73" s="62">
        <v>40</v>
      </c>
      <c r="AB73" s="62">
        <v>40</v>
      </c>
      <c r="AC73" s="62">
        <v>40</v>
      </c>
      <c r="AD73" s="62">
        <v>40</v>
      </c>
      <c r="AE73" s="62">
        <v>40</v>
      </c>
      <c r="AF73" s="98">
        <v>23</v>
      </c>
      <c r="AG73" s="59">
        <v>60</v>
      </c>
      <c r="AH73" s="61">
        <v>60</v>
      </c>
      <c r="AI73" s="140" t="str">
        <f>Riskregister!O73</f>
        <v>Not yet decided</v>
      </c>
      <c r="AJ73" s="8">
        <f>Riskregister!Q73</f>
        <v>0</v>
      </c>
    </row>
    <row r="74" spans="1:36" ht="28.8" x14ac:dyDescent="0.3">
      <c r="A74" s="23">
        <f>Riskregister!A74</f>
        <v>69</v>
      </c>
      <c r="B74" s="23" t="str">
        <f>Riskregister!B74</f>
        <v>C</v>
      </c>
      <c r="C74" s="58" t="str">
        <f>Riskregister!C74</f>
        <v>Construction</v>
      </c>
      <c r="D74" s="72" t="str">
        <f>Riskregister!D74</f>
        <v>Working hours for construction limited as outcome of community &amp; business consultation</v>
      </c>
      <c r="E74" s="72" t="str">
        <f>Riskregister!F74</f>
        <v>Resulting in - programme delays and increased costs</v>
      </c>
      <c r="F74" s="89">
        <f>Riskregister!T74</f>
        <v>11</v>
      </c>
      <c r="G74" s="92">
        <f>Riskregister!M74</f>
        <v>17</v>
      </c>
      <c r="H74" s="88">
        <f>Riskregister!I74</f>
        <v>24</v>
      </c>
      <c r="I74" s="139">
        <f>[1]Riskprofile!I74</f>
        <v>17</v>
      </c>
      <c r="J74" s="65">
        <v>30</v>
      </c>
      <c r="K74" s="59">
        <v>30</v>
      </c>
      <c r="L74" s="59">
        <v>30</v>
      </c>
      <c r="M74" s="59">
        <v>30</v>
      </c>
      <c r="N74" s="59">
        <v>30</v>
      </c>
      <c r="O74" s="59">
        <v>30</v>
      </c>
      <c r="P74" s="59">
        <v>30</v>
      </c>
      <c r="Q74" s="59">
        <v>30</v>
      </c>
      <c r="R74" s="59">
        <v>30</v>
      </c>
      <c r="S74" s="59">
        <v>30</v>
      </c>
      <c r="T74" s="97">
        <v>11</v>
      </c>
      <c r="U74" s="62">
        <v>40</v>
      </c>
      <c r="V74" s="62">
        <v>40</v>
      </c>
      <c r="W74" s="62">
        <v>40</v>
      </c>
      <c r="X74" s="62">
        <v>40</v>
      </c>
      <c r="Y74" s="62">
        <v>40</v>
      </c>
      <c r="Z74" s="99">
        <v>17</v>
      </c>
      <c r="AA74" s="63">
        <v>50</v>
      </c>
      <c r="AB74" s="63">
        <v>50</v>
      </c>
      <c r="AC74" s="63">
        <v>50</v>
      </c>
      <c r="AD74" s="63">
        <v>50</v>
      </c>
      <c r="AE74" s="63">
        <v>50</v>
      </c>
      <c r="AF74" s="63">
        <v>50</v>
      </c>
      <c r="AG74" s="98">
        <v>24</v>
      </c>
      <c r="AH74" s="61">
        <v>60</v>
      </c>
      <c r="AI74" s="140" t="str">
        <f>Riskregister!O74</f>
        <v>Not yet decided</v>
      </c>
      <c r="AJ74" s="8">
        <f>Riskregister!Q74</f>
        <v>0</v>
      </c>
    </row>
    <row r="75" spans="1:36" ht="28.8" x14ac:dyDescent="0.3">
      <c r="A75" s="23">
        <f>Riskregister!A75</f>
        <v>70</v>
      </c>
      <c r="B75" s="23" t="str">
        <f>Riskregister!B75</f>
        <v>C</v>
      </c>
      <c r="C75" s="58" t="str">
        <f>Riskregister!C75</f>
        <v>Procurement</v>
      </c>
      <c r="D75" s="72" t="str">
        <f>Riskregister!D75</f>
        <v>Change in interest rates assumed resulting in escalating in price base of the TOC</v>
      </c>
      <c r="E75" s="72" t="str">
        <f>Riskregister!F75</f>
        <v>Lost of money in the future due to the change in the interest rate</v>
      </c>
      <c r="F75" s="53">
        <f>Riskregister!T75</f>
        <v>6</v>
      </c>
      <c r="G75" s="92">
        <f>Riskregister!M75</f>
        <v>16</v>
      </c>
      <c r="H75" s="88">
        <f>Riskregister!I75</f>
        <v>22</v>
      </c>
      <c r="I75" s="139">
        <f>[1]Riskprofile!I75</f>
        <v>6</v>
      </c>
      <c r="J75" s="65">
        <v>30</v>
      </c>
      <c r="K75" s="59">
        <v>30</v>
      </c>
      <c r="L75" s="59">
        <v>30</v>
      </c>
      <c r="M75" s="59">
        <v>30</v>
      </c>
      <c r="N75" s="59">
        <v>30</v>
      </c>
      <c r="O75" s="64">
        <v>6</v>
      </c>
      <c r="P75" s="62">
        <v>40</v>
      </c>
      <c r="Q75" s="62">
        <v>40</v>
      </c>
      <c r="R75" s="62">
        <v>40</v>
      </c>
      <c r="S75" s="62">
        <v>40</v>
      </c>
      <c r="T75" s="62">
        <v>40</v>
      </c>
      <c r="U75" s="62">
        <v>40</v>
      </c>
      <c r="V75" s="62">
        <v>40</v>
      </c>
      <c r="W75" s="62">
        <v>40</v>
      </c>
      <c r="X75" s="62">
        <v>40</v>
      </c>
      <c r="Y75" s="99">
        <v>16</v>
      </c>
      <c r="Z75" s="63">
        <v>50</v>
      </c>
      <c r="AA75" s="63">
        <v>50</v>
      </c>
      <c r="AB75" s="63">
        <v>50</v>
      </c>
      <c r="AC75" s="63">
        <v>50</v>
      </c>
      <c r="AD75" s="63">
        <v>50</v>
      </c>
      <c r="AE75" s="98">
        <v>22</v>
      </c>
      <c r="AF75" s="59">
        <v>60</v>
      </c>
      <c r="AG75" s="59">
        <v>60</v>
      </c>
      <c r="AH75" s="61">
        <v>60</v>
      </c>
      <c r="AI75" s="140" t="str">
        <f>Riskregister!O75</f>
        <v>Robin/Judy</v>
      </c>
      <c r="AJ75" s="8" t="str">
        <f>Riskregister!Q75</f>
        <v>Solved</v>
      </c>
    </row>
    <row r="76" spans="1:36" x14ac:dyDescent="0.3">
      <c r="A76" s="23">
        <f>Riskregister!A76</f>
        <v>71</v>
      </c>
      <c r="B76" s="23" t="str">
        <f>Riskregister!B76</f>
        <v>C</v>
      </c>
      <c r="C76" s="58" t="str">
        <f>Riskregister!C76</f>
        <v>Procurement</v>
      </c>
      <c r="D76" s="72" t="str">
        <f>Riskregister!D76</f>
        <v>Contractor procurement practices not supported by Maynilad</v>
      </c>
      <c r="E76" s="72" t="str">
        <f>Riskregister!F76</f>
        <v>Resulting in - Delays and increased costs</v>
      </c>
      <c r="F76" s="53">
        <f>Riskregister!T76</f>
        <v>5</v>
      </c>
      <c r="G76" s="89">
        <f>Riskregister!M76</f>
        <v>12</v>
      </c>
      <c r="H76" s="89">
        <f>Riskregister!I76</f>
        <v>12</v>
      </c>
      <c r="I76" s="139">
        <f>[1]Riskprofile!I76</f>
        <v>5</v>
      </c>
      <c r="J76" s="65">
        <v>30</v>
      </c>
      <c r="K76" s="59">
        <v>30</v>
      </c>
      <c r="L76" s="59">
        <v>30</v>
      </c>
      <c r="M76" s="59">
        <v>30</v>
      </c>
      <c r="N76" s="64">
        <v>5</v>
      </c>
      <c r="O76" s="62">
        <v>40</v>
      </c>
      <c r="P76" s="62">
        <v>40</v>
      </c>
      <c r="Q76" s="62">
        <v>40</v>
      </c>
      <c r="R76" s="62">
        <v>40</v>
      </c>
      <c r="S76" s="62">
        <v>40</v>
      </c>
      <c r="T76" s="62">
        <v>40</v>
      </c>
      <c r="U76" s="97">
        <v>12</v>
      </c>
      <c r="V76" s="59">
        <v>60</v>
      </c>
      <c r="W76" s="59">
        <v>60</v>
      </c>
      <c r="X76" s="59">
        <v>60</v>
      </c>
      <c r="Y76" s="59">
        <v>60</v>
      </c>
      <c r="Z76" s="59">
        <v>60</v>
      </c>
      <c r="AA76" s="59">
        <v>60</v>
      </c>
      <c r="AB76" s="59">
        <v>60</v>
      </c>
      <c r="AC76" s="59">
        <v>60</v>
      </c>
      <c r="AD76" s="59">
        <v>60</v>
      </c>
      <c r="AE76" s="59">
        <v>60</v>
      </c>
      <c r="AF76" s="59">
        <v>60</v>
      </c>
      <c r="AG76" s="59">
        <v>60</v>
      </c>
      <c r="AH76" s="61">
        <v>60</v>
      </c>
      <c r="AI76" s="140" t="str">
        <f>Riskregister!O76</f>
        <v>Not yet decided</v>
      </c>
      <c r="AJ76" s="8" t="str">
        <f>Riskregister!Q76</f>
        <v>Partially solved</v>
      </c>
    </row>
    <row r="77" spans="1:36" ht="28.8" x14ac:dyDescent="0.3">
      <c r="A77" s="23">
        <f>Riskregister!A77</f>
        <v>72</v>
      </c>
      <c r="B77" s="23" t="str">
        <f>Riskregister!B77</f>
        <v>C</v>
      </c>
      <c r="C77" s="58" t="str">
        <f>Riskregister!C77</f>
        <v>Procurement</v>
      </c>
      <c r="D77" s="72" t="str">
        <f>Riskregister!D77</f>
        <v>Long supply lead times for equipment result in trade-offs in equipment performance.</v>
      </c>
      <c r="E77" s="72" t="str">
        <f>Riskregister!F77</f>
        <v>Project delays and possible cost variation</v>
      </c>
      <c r="F77" s="53">
        <f>Riskregister!T77</f>
        <v>6</v>
      </c>
      <c r="G77" s="92">
        <f>Riskregister!M77</f>
        <v>16</v>
      </c>
      <c r="H77" s="88">
        <f>Riskregister!I77</f>
        <v>25</v>
      </c>
      <c r="I77" s="139">
        <f>[1]Riskprofile!I77</f>
        <v>6</v>
      </c>
      <c r="J77" s="65">
        <v>30</v>
      </c>
      <c r="K77" s="59">
        <v>30</v>
      </c>
      <c r="L77" s="59">
        <v>30</v>
      </c>
      <c r="M77" s="59">
        <v>30</v>
      </c>
      <c r="N77" s="59">
        <v>30</v>
      </c>
      <c r="O77" s="64">
        <v>6</v>
      </c>
      <c r="P77" s="62">
        <v>40</v>
      </c>
      <c r="Q77" s="62">
        <v>40</v>
      </c>
      <c r="R77" s="62">
        <v>40</v>
      </c>
      <c r="S77" s="62">
        <v>40</v>
      </c>
      <c r="T77" s="62">
        <v>40</v>
      </c>
      <c r="U77" s="62">
        <v>40</v>
      </c>
      <c r="V77" s="62">
        <v>40</v>
      </c>
      <c r="W77" s="62">
        <v>40</v>
      </c>
      <c r="X77" s="62">
        <v>40</v>
      </c>
      <c r="Y77" s="99">
        <v>16</v>
      </c>
      <c r="Z77" s="63">
        <v>50</v>
      </c>
      <c r="AA77" s="63">
        <v>50</v>
      </c>
      <c r="AB77" s="63">
        <v>50</v>
      </c>
      <c r="AC77" s="63">
        <v>50</v>
      </c>
      <c r="AD77" s="63">
        <v>50</v>
      </c>
      <c r="AE77" s="63">
        <v>50</v>
      </c>
      <c r="AF77" s="63">
        <v>50</v>
      </c>
      <c r="AG77" s="63">
        <v>50</v>
      </c>
      <c r="AH77" s="102">
        <v>25</v>
      </c>
      <c r="AI77" s="140" t="str">
        <f>Riskregister!O77</f>
        <v>Not yet decided</v>
      </c>
      <c r="AJ77" s="8" t="str">
        <f>Riskregister!Q77</f>
        <v>Ongoing</v>
      </c>
    </row>
    <row r="78" spans="1:36" x14ac:dyDescent="0.3">
      <c r="A78" s="23">
        <f>Riskregister!A78</f>
        <v>73</v>
      </c>
      <c r="B78" s="23" t="str">
        <f>Riskregister!B78</f>
        <v>C</v>
      </c>
      <c r="C78" s="58" t="str">
        <f>Riskregister!C78</f>
        <v>Procurement</v>
      </c>
      <c r="D78" s="72" t="str">
        <f>Riskregister!D78</f>
        <v>Market conditions restrict availability of equipment</v>
      </c>
      <c r="E78" s="72" t="str">
        <f>Riskregister!F78</f>
        <v>Resulting in - Sub-optimal choice or delay to provision</v>
      </c>
      <c r="F78" s="53">
        <f>Riskregister!T78</f>
        <v>5</v>
      </c>
      <c r="G78" s="89">
        <f>Riskregister!M78</f>
        <v>12</v>
      </c>
      <c r="H78" s="89">
        <f>Riskregister!I78</f>
        <v>12</v>
      </c>
      <c r="I78" s="139">
        <f>[1]Riskprofile!I78</f>
        <v>12</v>
      </c>
      <c r="J78" s="65">
        <v>30</v>
      </c>
      <c r="K78" s="59">
        <v>30</v>
      </c>
      <c r="L78" s="59">
        <v>30</v>
      </c>
      <c r="M78" s="59">
        <v>30</v>
      </c>
      <c r="N78" s="64">
        <v>5</v>
      </c>
      <c r="O78" s="62">
        <v>40</v>
      </c>
      <c r="P78" s="62">
        <v>40</v>
      </c>
      <c r="Q78" s="62">
        <v>40</v>
      </c>
      <c r="R78" s="62">
        <v>40</v>
      </c>
      <c r="S78" s="62">
        <v>40</v>
      </c>
      <c r="T78" s="62">
        <v>40</v>
      </c>
      <c r="U78" s="97">
        <v>12</v>
      </c>
      <c r="V78" s="59">
        <v>60</v>
      </c>
      <c r="W78" s="59">
        <v>60</v>
      </c>
      <c r="X78" s="59">
        <v>60</v>
      </c>
      <c r="Y78" s="59">
        <v>60</v>
      </c>
      <c r="Z78" s="59">
        <v>60</v>
      </c>
      <c r="AA78" s="59">
        <v>60</v>
      </c>
      <c r="AB78" s="59">
        <v>60</v>
      </c>
      <c r="AC78" s="59">
        <v>60</v>
      </c>
      <c r="AD78" s="59">
        <v>60</v>
      </c>
      <c r="AE78" s="59">
        <v>60</v>
      </c>
      <c r="AF78" s="59">
        <v>60</v>
      </c>
      <c r="AG78" s="59">
        <v>60</v>
      </c>
      <c r="AH78" s="61">
        <v>60</v>
      </c>
      <c r="AI78" s="140" t="str">
        <f>Riskregister!O78</f>
        <v>Not yet decided</v>
      </c>
      <c r="AJ78" s="8">
        <f>Riskregister!Q78</f>
        <v>0</v>
      </c>
    </row>
    <row r="79" spans="1:36" ht="28.8" x14ac:dyDescent="0.3">
      <c r="A79" s="23">
        <f>Riskregister!A79</f>
        <v>74</v>
      </c>
      <c r="B79" s="23" t="str">
        <f>Riskregister!B79</f>
        <v>C</v>
      </c>
      <c r="C79" s="58" t="str">
        <f>Riskregister!C79</f>
        <v>Procurement</v>
      </c>
      <c r="D79" s="72" t="str">
        <f>Riskregister!D79</f>
        <v>Oversees suppliers related risks (Insurance, Lead time, currency price, etc)</v>
      </c>
      <c r="E79" s="72" t="str">
        <f>Riskregister!F79</f>
        <v xml:space="preserve">Resulting in - Budget Exceeded </v>
      </c>
      <c r="F79" s="89">
        <f>Riskregister!T79</f>
        <v>11</v>
      </c>
      <c r="G79" s="92">
        <f>Riskregister!M79</f>
        <v>17</v>
      </c>
      <c r="H79" s="88">
        <f>Riskregister!I79</f>
        <v>24</v>
      </c>
      <c r="I79" s="139">
        <f>[1]Riskprofile!I79</f>
        <v>17</v>
      </c>
      <c r="J79" s="65">
        <v>30</v>
      </c>
      <c r="K79" s="59">
        <v>30</v>
      </c>
      <c r="L79" s="59">
        <v>30</v>
      </c>
      <c r="M79" s="59">
        <v>30</v>
      </c>
      <c r="N79" s="59">
        <v>30</v>
      </c>
      <c r="O79" s="59">
        <v>30</v>
      </c>
      <c r="P79" s="59">
        <v>30</v>
      </c>
      <c r="Q79" s="59">
        <v>30</v>
      </c>
      <c r="R79" s="59">
        <v>30</v>
      </c>
      <c r="S79" s="59">
        <v>30</v>
      </c>
      <c r="T79" s="97">
        <v>11</v>
      </c>
      <c r="U79" s="62">
        <v>40</v>
      </c>
      <c r="V79" s="62">
        <v>40</v>
      </c>
      <c r="W79" s="62">
        <v>40</v>
      </c>
      <c r="X79" s="62">
        <v>40</v>
      </c>
      <c r="Y79" s="62">
        <v>40</v>
      </c>
      <c r="Z79" s="99">
        <v>17</v>
      </c>
      <c r="AA79" s="63">
        <v>50</v>
      </c>
      <c r="AB79" s="63">
        <v>50</v>
      </c>
      <c r="AC79" s="63">
        <v>50</v>
      </c>
      <c r="AD79" s="63">
        <v>50</v>
      </c>
      <c r="AE79" s="63">
        <v>50</v>
      </c>
      <c r="AF79" s="63">
        <v>50</v>
      </c>
      <c r="AG79" s="98">
        <v>24</v>
      </c>
      <c r="AH79" s="61">
        <v>60</v>
      </c>
      <c r="AI79" s="140" t="str">
        <f>Riskregister!O79</f>
        <v>Not yet decided</v>
      </c>
      <c r="AJ79" s="8">
        <f>Riskregister!Q79</f>
        <v>0</v>
      </c>
    </row>
    <row r="80" spans="1:36" ht="28.8" x14ac:dyDescent="0.3">
      <c r="A80" s="23">
        <f>Riskregister!A80</f>
        <v>75</v>
      </c>
      <c r="B80" s="23" t="str">
        <f>Riskregister!B80</f>
        <v>C</v>
      </c>
      <c r="C80" s="58" t="str">
        <f>Riskregister!C80</f>
        <v>Procurement</v>
      </c>
      <c r="D80" s="72" t="str">
        <f>Riskregister!D80</f>
        <v>Procurement Strategy does not meet probity expectations of the contructor's members &amp; key stakeholders</v>
      </c>
      <c r="E80" s="72" t="str">
        <f>Riskregister!F80</f>
        <v>Delay and cost increaset</v>
      </c>
      <c r="F80" s="89">
        <f>Riskregister!T80</f>
        <v>11</v>
      </c>
      <c r="G80" s="92">
        <f>Riskregister!M80</f>
        <v>17</v>
      </c>
      <c r="H80" s="88">
        <f>Riskregister!I80</f>
        <v>24</v>
      </c>
      <c r="I80" s="139">
        <f>[1]Riskprofile!I80</f>
        <v>11</v>
      </c>
      <c r="J80" s="65">
        <v>30</v>
      </c>
      <c r="K80" s="59">
        <v>30</v>
      </c>
      <c r="L80" s="59">
        <v>30</v>
      </c>
      <c r="M80" s="59">
        <v>30</v>
      </c>
      <c r="N80" s="59">
        <v>30</v>
      </c>
      <c r="O80" s="59">
        <v>30</v>
      </c>
      <c r="P80" s="59">
        <v>30</v>
      </c>
      <c r="Q80" s="59">
        <v>30</v>
      </c>
      <c r="R80" s="59">
        <v>30</v>
      </c>
      <c r="S80" s="59">
        <v>30</v>
      </c>
      <c r="T80" s="97">
        <v>11</v>
      </c>
      <c r="U80" s="62">
        <v>40</v>
      </c>
      <c r="V80" s="62">
        <v>40</v>
      </c>
      <c r="W80" s="62">
        <v>40</v>
      </c>
      <c r="X80" s="62">
        <v>40</v>
      </c>
      <c r="Y80" s="62">
        <v>40</v>
      </c>
      <c r="Z80" s="99">
        <v>17</v>
      </c>
      <c r="AA80" s="63">
        <v>50</v>
      </c>
      <c r="AB80" s="63">
        <v>50</v>
      </c>
      <c r="AC80" s="63">
        <v>50</v>
      </c>
      <c r="AD80" s="63">
        <v>50</v>
      </c>
      <c r="AE80" s="63">
        <v>50</v>
      </c>
      <c r="AF80" s="63">
        <v>50</v>
      </c>
      <c r="AG80" s="98">
        <v>24</v>
      </c>
      <c r="AH80" s="61">
        <v>60</v>
      </c>
      <c r="AI80" s="140" t="str">
        <f>Riskregister!O80</f>
        <v>Nam/Robin/Scott</v>
      </c>
      <c r="AJ80" s="8" t="str">
        <f>Riskregister!Q80</f>
        <v>Ongoing</v>
      </c>
    </row>
    <row r="81" spans="1:36" ht="28.8" x14ac:dyDescent="0.3">
      <c r="A81" s="23">
        <f>Riskregister!A81</f>
        <v>76</v>
      </c>
      <c r="B81" s="23" t="str">
        <f>Riskregister!B81</f>
        <v>C</v>
      </c>
      <c r="C81" s="58" t="str">
        <f>Riskregister!C81</f>
        <v>Procurement</v>
      </c>
      <c r="D81" s="72" t="str">
        <f>Riskregister!D81</f>
        <v>Shortage of materials, long delivery times, low quality of delivered materials, use of older cheaper technology</v>
      </c>
      <c r="E81" s="72" t="str">
        <f>Riskregister!F81</f>
        <v>Resulting in - Less than optimal material usage. Loss of system performance, potential for leaks</v>
      </c>
      <c r="F81" s="53">
        <f>Riskregister!T81</f>
        <v>6</v>
      </c>
      <c r="G81" s="54">
        <f>Riskregister!M81</f>
        <v>21</v>
      </c>
      <c r="H81" s="88">
        <f>Riskregister!I81</f>
        <v>25</v>
      </c>
      <c r="I81" s="139">
        <f>[1]Riskprofile!I81</f>
        <v>21</v>
      </c>
      <c r="J81" s="65">
        <v>30</v>
      </c>
      <c r="K81" s="59">
        <v>30</v>
      </c>
      <c r="L81" s="59">
        <v>30</v>
      </c>
      <c r="M81" s="59">
        <v>30</v>
      </c>
      <c r="N81" s="59">
        <v>30</v>
      </c>
      <c r="O81" s="64">
        <v>6</v>
      </c>
      <c r="P81" s="62">
        <v>40</v>
      </c>
      <c r="Q81" s="62">
        <v>40</v>
      </c>
      <c r="R81" s="62">
        <v>40</v>
      </c>
      <c r="S81" s="62">
        <v>40</v>
      </c>
      <c r="T81" s="62">
        <v>40</v>
      </c>
      <c r="U81" s="62">
        <v>40</v>
      </c>
      <c r="V81" s="62">
        <v>40</v>
      </c>
      <c r="W81" s="62">
        <v>40</v>
      </c>
      <c r="X81" s="62">
        <v>40</v>
      </c>
      <c r="Y81" s="62">
        <v>40</v>
      </c>
      <c r="Z81" s="62">
        <v>40</v>
      </c>
      <c r="AA81" s="62">
        <v>40</v>
      </c>
      <c r="AB81" s="62">
        <v>40</v>
      </c>
      <c r="AC81" s="62">
        <v>40</v>
      </c>
      <c r="AD81" s="60">
        <v>21</v>
      </c>
      <c r="AE81" s="63">
        <v>50</v>
      </c>
      <c r="AF81" s="63">
        <v>50</v>
      </c>
      <c r="AG81" s="63">
        <v>50</v>
      </c>
      <c r="AH81" s="102">
        <v>25</v>
      </c>
      <c r="AI81" s="140" t="str">
        <f>Riskregister!O81</f>
        <v>Nam</v>
      </c>
      <c r="AJ81" s="8" t="str">
        <f>Riskregister!Q81</f>
        <v>In preparation</v>
      </c>
    </row>
    <row r="82" spans="1:36" ht="28.8" x14ac:dyDescent="0.3">
      <c r="A82" s="23">
        <f>Riskregister!A82</f>
        <v>77</v>
      </c>
      <c r="B82" s="23" t="str">
        <f>Riskregister!B82</f>
        <v>C</v>
      </c>
      <c r="C82" s="58" t="str">
        <f>Riskregister!C82</f>
        <v>Procurement</v>
      </c>
      <c r="D82" s="72" t="str">
        <f>Riskregister!D82</f>
        <v>Supplier deals causes sub-optimal choices or friction between parties</v>
      </c>
      <c r="E82" s="72" t="str">
        <f>Riskregister!F82</f>
        <v>Delay and cost increaset</v>
      </c>
      <c r="F82" s="53">
        <f>Riskregister!T82</f>
        <v>5</v>
      </c>
      <c r="G82" s="89">
        <f>Riskregister!M82</f>
        <v>12</v>
      </c>
      <c r="H82" s="54">
        <f>Riskregister!I82</f>
        <v>21</v>
      </c>
      <c r="I82" s="139">
        <f>[1]Riskprofile!I82</f>
        <v>12</v>
      </c>
      <c r="J82" s="65">
        <v>30</v>
      </c>
      <c r="K82" s="59">
        <v>30</v>
      </c>
      <c r="L82" s="59">
        <v>30</v>
      </c>
      <c r="M82" s="59">
        <v>30</v>
      </c>
      <c r="N82" s="64">
        <v>5</v>
      </c>
      <c r="O82" s="62">
        <v>40</v>
      </c>
      <c r="P82" s="62">
        <v>40</v>
      </c>
      <c r="Q82" s="62">
        <v>40</v>
      </c>
      <c r="R82" s="62">
        <v>40</v>
      </c>
      <c r="S82" s="62">
        <v>40</v>
      </c>
      <c r="T82" s="62">
        <v>40</v>
      </c>
      <c r="U82" s="97">
        <v>12</v>
      </c>
      <c r="V82" s="63">
        <v>50</v>
      </c>
      <c r="W82" s="63">
        <v>50</v>
      </c>
      <c r="X82" s="63">
        <v>50</v>
      </c>
      <c r="Y82" s="63">
        <v>50</v>
      </c>
      <c r="Z82" s="63">
        <v>50</v>
      </c>
      <c r="AA82" s="63">
        <v>50</v>
      </c>
      <c r="AB82" s="63">
        <v>50</v>
      </c>
      <c r="AC82" s="63">
        <v>50</v>
      </c>
      <c r="AD82" s="60">
        <v>21</v>
      </c>
      <c r="AE82" s="59">
        <v>60</v>
      </c>
      <c r="AF82" s="59">
        <v>60</v>
      </c>
      <c r="AG82" s="59">
        <v>60</v>
      </c>
      <c r="AH82" s="61">
        <v>60</v>
      </c>
      <c r="AI82" s="140" t="str">
        <f>Riskregister!O82</f>
        <v>Not yet decided</v>
      </c>
      <c r="AJ82" s="8">
        <f>Riskregister!Q82</f>
        <v>0</v>
      </c>
    </row>
    <row r="83" spans="1:36" ht="28.8" x14ac:dyDescent="0.3">
      <c r="A83" s="23">
        <f>Riskregister!A83</f>
        <v>78</v>
      </c>
      <c r="B83" s="23" t="str">
        <f>Riskregister!B83</f>
        <v>C</v>
      </c>
      <c r="C83" s="58" t="str">
        <f>Riskregister!C83</f>
        <v>Procurement</v>
      </c>
      <c r="D83" s="72" t="str">
        <f>Riskregister!D83</f>
        <v>Supplier goes into receivership &amp; alternative delivery is not readily available</v>
      </c>
      <c r="E83" s="72" t="str">
        <f>Riskregister!F83</f>
        <v>Delay and cost increaset</v>
      </c>
      <c r="F83" s="53">
        <f>Riskregister!T83</f>
        <v>5</v>
      </c>
      <c r="G83" s="89">
        <f>Riskregister!M83</f>
        <v>12</v>
      </c>
      <c r="H83" s="54">
        <f>Riskregister!I83</f>
        <v>21</v>
      </c>
      <c r="I83" s="139">
        <f>[1]Riskprofile!I83</f>
        <v>12</v>
      </c>
      <c r="J83" s="65">
        <v>30</v>
      </c>
      <c r="K83" s="59">
        <v>30</v>
      </c>
      <c r="L83" s="59">
        <v>30</v>
      </c>
      <c r="M83" s="59">
        <v>30</v>
      </c>
      <c r="N83" s="64">
        <v>5</v>
      </c>
      <c r="O83" s="62">
        <v>40</v>
      </c>
      <c r="P83" s="62">
        <v>40</v>
      </c>
      <c r="Q83" s="62">
        <v>40</v>
      </c>
      <c r="R83" s="62">
        <v>40</v>
      </c>
      <c r="S83" s="62">
        <v>40</v>
      </c>
      <c r="T83" s="62">
        <v>40</v>
      </c>
      <c r="U83" s="97">
        <v>12</v>
      </c>
      <c r="V83" s="63">
        <v>50</v>
      </c>
      <c r="W83" s="63">
        <v>50</v>
      </c>
      <c r="X83" s="63">
        <v>50</v>
      </c>
      <c r="Y83" s="63">
        <v>50</v>
      </c>
      <c r="Z83" s="63">
        <v>50</v>
      </c>
      <c r="AA83" s="63">
        <v>50</v>
      </c>
      <c r="AB83" s="63">
        <v>50</v>
      </c>
      <c r="AC83" s="63">
        <v>50</v>
      </c>
      <c r="AD83" s="60">
        <v>21</v>
      </c>
      <c r="AE83" s="59">
        <v>60</v>
      </c>
      <c r="AF83" s="59">
        <v>60</v>
      </c>
      <c r="AG83" s="59">
        <v>60</v>
      </c>
      <c r="AH83" s="61">
        <v>60</v>
      </c>
      <c r="AI83" s="140" t="str">
        <f>Riskregister!O83</f>
        <v>Not yet decided</v>
      </c>
      <c r="AJ83" s="8">
        <f>Riskregister!Q83</f>
        <v>0</v>
      </c>
    </row>
    <row r="84" spans="1:36" ht="28.8" x14ac:dyDescent="0.3">
      <c r="A84" s="23">
        <f>Riskregister!A84</f>
        <v>79</v>
      </c>
      <c r="B84" s="23" t="str">
        <f>Riskregister!B84</f>
        <v>D</v>
      </c>
      <c r="C84" s="58" t="str">
        <f>Riskregister!C84</f>
        <v>Delivery</v>
      </c>
      <c r="D84" s="72" t="str">
        <f>Riskregister!D84</f>
        <v xml:space="preserve">Adverse publicity in the media results in increased demand for compensation. </v>
      </c>
      <c r="E84" s="72" t="str">
        <f>Riskregister!F84</f>
        <v>Resulting in - escalation in number of compensation claims and knock on costs from consumers</v>
      </c>
      <c r="F84" s="53">
        <f>Riskregister!T84</f>
        <v>5</v>
      </c>
      <c r="G84" s="53">
        <f>Riskregister!M84</f>
        <v>5</v>
      </c>
      <c r="H84" s="53">
        <f>Riskregister!I84</f>
        <v>5</v>
      </c>
      <c r="I84" s="139">
        <f>[1]Riskprofile!I84</f>
        <v>5</v>
      </c>
      <c r="J84" s="65">
        <v>30</v>
      </c>
      <c r="K84" s="59">
        <v>30</v>
      </c>
      <c r="L84" s="59">
        <v>30</v>
      </c>
      <c r="M84" s="59">
        <v>30</v>
      </c>
      <c r="N84" s="64">
        <v>5</v>
      </c>
      <c r="O84" s="59">
        <v>60</v>
      </c>
      <c r="P84" s="59">
        <v>60</v>
      </c>
      <c r="Q84" s="59">
        <v>60</v>
      </c>
      <c r="R84" s="59">
        <v>60</v>
      </c>
      <c r="S84" s="59">
        <v>60</v>
      </c>
      <c r="T84" s="59">
        <v>60</v>
      </c>
      <c r="U84" s="59">
        <v>60</v>
      </c>
      <c r="V84" s="59">
        <v>60</v>
      </c>
      <c r="W84" s="59">
        <v>60</v>
      </c>
      <c r="X84" s="59">
        <v>60</v>
      </c>
      <c r="Y84" s="59">
        <v>60</v>
      </c>
      <c r="Z84" s="59">
        <v>60</v>
      </c>
      <c r="AA84" s="59">
        <v>60</v>
      </c>
      <c r="AB84" s="59">
        <v>60</v>
      </c>
      <c r="AC84" s="59">
        <v>60</v>
      </c>
      <c r="AD84" s="59">
        <v>60</v>
      </c>
      <c r="AE84" s="59">
        <v>60</v>
      </c>
      <c r="AF84" s="59">
        <v>60</v>
      </c>
      <c r="AG84" s="59">
        <v>60</v>
      </c>
      <c r="AH84" s="61">
        <v>60</v>
      </c>
      <c r="AI84" s="140" t="str">
        <f>Riskregister!O84</f>
        <v>Not yet decided</v>
      </c>
      <c r="AJ84" s="8">
        <f>Riskregister!Q84</f>
        <v>0</v>
      </c>
    </row>
    <row r="85" spans="1:36" ht="28.8" x14ac:dyDescent="0.3">
      <c r="A85" s="23">
        <f>Riskregister!A85</f>
        <v>80</v>
      </c>
      <c r="B85" s="23" t="str">
        <f>Riskregister!B85</f>
        <v>D</v>
      </c>
      <c r="C85" s="58" t="str">
        <f>Riskregister!C85</f>
        <v>Delivery</v>
      </c>
      <c r="D85" s="72" t="str">
        <f>Riskregister!D85</f>
        <v>Ineffective OH&amp;S management, potentially leading to worker health safety</v>
      </c>
      <c r="E85" s="72" t="str">
        <f>Riskregister!F85</f>
        <v>Resulting in - Work stoppages while problems are rectified. Re-work and possible health effects and accidents</v>
      </c>
      <c r="F85" s="90">
        <f>Riskregister!T85</f>
        <v>1</v>
      </c>
      <c r="G85" s="89">
        <f>Riskregister!M85</f>
        <v>11</v>
      </c>
      <c r="H85" s="92">
        <f>Riskregister!I85</f>
        <v>17</v>
      </c>
      <c r="I85" s="139">
        <f>[1]Riskprofile!I85</f>
        <v>11</v>
      </c>
      <c r="J85" s="100">
        <v>1</v>
      </c>
      <c r="K85" s="62">
        <v>40</v>
      </c>
      <c r="L85" s="62">
        <v>40</v>
      </c>
      <c r="M85" s="62">
        <v>40</v>
      </c>
      <c r="N85" s="62">
        <v>40</v>
      </c>
      <c r="O85" s="62">
        <v>40</v>
      </c>
      <c r="P85" s="62">
        <v>40</v>
      </c>
      <c r="Q85" s="62">
        <v>40</v>
      </c>
      <c r="R85" s="62">
        <v>40</v>
      </c>
      <c r="S85" s="62">
        <v>40</v>
      </c>
      <c r="T85" s="97">
        <v>11</v>
      </c>
      <c r="U85" s="63">
        <v>50</v>
      </c>
      <c r="V85" s="63">
        <v>50</v>
      </c>
      <c r="W85" s="63">
        <v>50</v>
      </c>
      <c r="X85" s="63">
        <v>50</v>
      </c>
      <c r="Y85" s="63">
        <v>50</v>
      </c>
      <c r="Z85" s="99">
        <v>17</v>
      </c>
      <c r="AA85" s="59">
        <v>60</v>
      </c>
      <c r="AB85" s="59">
        <v>60</v>
      </c>
      <c r="AC85" s="59">
        <v>60</v>
      </c>
      <c r="AD85" s="59">
        <v>60</v>
      </c>
      <c r="AE85" s="59">
        <v>60</v>
      </c>
      <c r="AF85" s="59">
        <v>60</v>
      </c>
      <c r="AG85" s="59">
        <v>60</v>
      </c>
      <c r="AH85" s="61">
        <v>60</v>
      </c>
      <c r="AI85" s="140" t="str">
        <f>Riskregister!O85</f>
        <v>Nam</v>
      </c>
      <c r="AJ85" s="8" t="str">
        <f>Riskregister!Q85</f>
        <v>Ongoing</v>
      </c>
    </row>
    <row r="86" spans="1:36" ht="28.8" x14ac:dyDescent="0.3">
      <c r="A86" s="23">
        <f>Riskregister!A86</f>
        <v>81</v>
      </c>
      <c r="B86" s="23" t="str">
        <f>Riskregister!B86</f>
        <v>D</v>
      </c>
      <c r="C86" s="58" t="str">
        <f>Riskregister!C86</f>
        <v>Delivery</v>
      </c>
      <c r="D86" s="72" t="str">
        <f>Riskregister!D86</f>
        <v xml:space="preserve">Inefficient  team working within Project </v>
      </c>
      <c r="E86" s="72" t="str">
        <f>Riskregister!F86</f>
        <v>Resulting in - Poor communications, poor focus, miss-understandings. errors, delays and increased programme costs</v>
      </c>
      <c r="F86" s="89">
        <f>Riskregister!T86</f>
        <v>12</v>
      </c>
      <c r="G86" s="89">
        <f>Riskregister!M86</f>
        <v>12</v>
      </c>
      <c r="H86" s="54">
        <f>Riskregister!I86</f>
        <v>21</v>
      </c>
      <c r="I86" s="139">
        <f>[1]Riskprofile!I86</f>
        <v>11</v>
      </c>
      <c r="J86" s="65">
        <v>30</v>
      </c>
      <c r="K86" s="59">
        <v>30</v>
      </c>
      <c r="L86" s="59">
        <v>30</v>
      </c>
      <c r="M86" s="59">
        <v>30</v>
      </c>
      <c r="N86" s="59">
        <v>30</v>
      </c>
      <c r="O86" s="59">
        <v>30</v>
      </c>
      <c r="P86" s="59">
        <v>30</v>
      </c>
      <c r="Q86" s="59">
        <v>30</v>
      </c>
      <c r="R86" s="59">
        <v>30</v>
      </c>
      <c r="S86" s="59">
        <v>30</v>
      </c>
      <c r="T86" s="59">
        <v>30</v>
      </c>
      <c r="U86" s="97">
        <v>12</v>
      </c>
      <c r="V86" s="63">
        <v>50</v>
      </c>
      <c r="W86" s="63">
        <v>50</v>
      </c>
      <c r="X86" s="63">
        <v>50</v>
      </c>
      <c r="Y86" s="63">
        <v>50</v>
      </c>
      <c r="Z86" s="63">
        <v>50</v>
      </c>
      <c r="AA86" s="63">
        <v>50</v>
      </c>
      <c r="AB86" s="63">
        <v>50</v>
      </c>
      <c r="AC86" s="63">
        <v>50</v>
      </c>
      <c r="AD86" s="60">
        <v>21</v>
      </c>
      <c r="AE86" s="59">
        <v>60</v>
      </c>
      <c r="AF86" s="59">
        <v>60</v>
      </c>
      <c r="AG86" s="59">
        <v>60</v>
      </c>
      <c r="AH86" s="61">
        <v>60</v>
      </c>
      <c r="AI86" s="140" t="str">
        <f>Riskregister!O86</f>
        <v>Nam</v>
      </c>
      <c r="AJ86" s="8" t="str">
        <f>Riskregister!Q86</f>
        <v>Ongoing</v>
      </c>
    </row>
    <row r="87" spans="1:36" ht="57.6" x14ac:dyDescent="0.3">
      <c r="A87" s="23">
        <f>Riskregister!A87</f>
        <v>82</v>
      </c>
      <c r="B87" s="23" t="str">
        <f>Riskregister!B87</f>
        <v>D</v>
      </c>
      <c r="C87" s="58" t="str">
        <f>Riskregister!C87</f>
        <v>Delivery</v>
      </c>
      <c r="D87" s="72" t="str">
        <f>Riskregister!D87</f>
        <v xml:space="preserve">Lack of coordination with other Maynilad projects and/or with other Packages </v>
      </c>
      <c r="E87" s="72" t="str">
        <f>Riskregister!F87</f>
        <v>Resulting in - confusion, slow working, no clearly defined SOWs, increased costs and programme delays.
E.g. SOWs of the Lagoon 1, which was provisionally in the SOWs of LMTP1 project but now transferred to LMTP2 bid.</v>
      </c>
      <c r="F87" s="53">
        <f>Riskregister!T87</f>
        <v>5</v>
      </c>
      <c r="G87" s="89">
        <f>Riskregister!M87</f>
        <v>11</v>
      </c>
      <c r="H87" s="54">
        <f>Riskregister!I87</f>
        <v>21</v>
      </c>
      <c r="I87" s="139">
        <f>[1]Riskprofile!I87</f>
        <v>11</v>
      </c>
      <c r="J87" s="65">
        <v>30</v>
      </c>
      <c r="K87" s="59">
        <v>30</v>
      </c>
      <c r="L87" s="59">
        <v>30</v>
      </c>
      <c r="M87" s="59">
        <v>30</v>
      </c>
      <c r="N87" s="64">
        <v>5</v>
      </c>
      <c r="O87" s="62">
        <v>40</v>
      </c>
      <c r="P87" s="62">
        <v>40</v>
      </c>
      <c r="Q87" s="62">
        <v>40</v>
      </c>
      <c r="R87" s="62">
        <v>40</v>
      </c>
      <c r="S87" s="62">
        <v>40</v>
      </c>
      <c r="T87" s="97">
        <v>11</v>
      </c>
      <c r="U87" s="63">
        <v>50</v>
      </c>
      <c r="V87" s="63">
        <v>50</v>
      </c>
      <c r="W87" s="63">
        <v>50</v>
      </c>
      <c r="X87" s="63">
        <v>50</v>
      </c>
      <c r="Y87" s="63">
        <v>50</v>
      </c>
      <c r="Z87" s="63">
        <v>50</v>
      </c>
      <c r="AA87" s="63">
        <v>50</v>
      </c>
      <c r="AB87" s="63">
        <v>50</v>
      </c>
      <c r="AC87" s="63">
        <v>50</v>
      </c>
      <c r="AD87" s="60">
        <v>21</v>
      </c>
      <c r="AE87" s="59">
        <v>60</v>
      </c>
      <c r="AF87" s="59">
        <v>60</v>
      </c>
      <c r="AG87" s="59">
        <v>60</v>
      </c>
      <c r="AH87" s="61">
        <v>60</v>
      </c>
      <c r="AI87" s="140" t="str">
        <f>Riskregister!O87</f>
        <v>Nam</v>
      </c>
      <c r="AJ87" s="8" t="str">
        <f>Riskregister!Q87</f>
        <v>Ongoing</v>
      </c>
    </row>
    <row r="88" spans="1:36" ht="43.2" x14ac:dyDescent="0.3">
      <c r="A88" s="23">
        <f>Riskregister!A88</f>
        <v>83</v>
      </c>
      <c r="B88" s="23" t="str">
        <f>Riskregister!B88</f>
        <v>D</v>
      </c>
      <c r="C88" s="58" t="str">
        <f>Riskregister!C88</f>
        <v>Delivery</v>
      </c>
      <c r="D88" s="72" t="str">
        <f>Riskregister!D88</f>
        <v xml:space="preserve">Lack of resources for project delays work </v>
      </c>
      <c r="E88" s="72" t="str">
        <f>Riskregister!F88</f>
        <v xml:space="preserve">Resulting in - Increase cost and delays resulting from non-optimal methods of work. Increased levels of checking and potential for re-work. </v>
      </c>
      <c r="F88" s="89">
        <f>Riskregister!T88</f>
        <v>11</v>
      </c>
      <c r="G88" s="89">
        <f>Riskregister!M88</f>
        <v>11</v>
      </c>
      <c r="H88" s="92">
        <f>Riskregister!I88</f>
        <v>17</v>
      </c>
      <c r="I88" s="139">
        <f>[1]Riskprofile!I88</f>
        <v>11</v>
      </c>
      <c r="J88" s="65">
        <v>30</v>
      </c>
      <c r="K88" s="59">
        <v>30</v>
      </c>
      <c r="L88" s="59">
        <v>30</v>
      </c>
      <c r="M88" s="59">
        <v>30</v>
      </c>
      <c r="N88" s="59">
        <v>30</v>
      </c>
      <c r="O88" s="59">
        <v>30</v>
      </c>
      <c r="P88" s="59">
        <v>30</v>
      </c>
      <c r="Q88" s="59">
        <v>30</v>
      </c>
      <c r="R88" s="59">
        <v>30</v>
      </c>
      <c r="S88" s="59">
        <v>30</v>
      </c>
      <c r="T88" s="97">
        <v>11</v>
      </c>
      <c r="U88" s="63">
        <v>50</v>
      </c>
      <c r="V88" s="63">
        <v>50</v>
      </c>
      <c r="W88" s="63">
        <v>50</v>
      </c>
      <c r="X88" s="63">
        <v>50</v>
      </c>
      <c r="Y88" s="63">
        <v>50</v>
      </c>
      <c r="Z88" s="99">
        <v>17</v>
      </c>
      <c r="AA88" s="59">
        <v>60</v>
      </c>
      <c r="AB88" s="59">
        <v>60</v>
      </c>
      <c r="AC88" s="59">
        <v>60</v>
      </c>
      <c r="AD88" s="59">
        <v>60</v>
      </c>
      <c r="AE88" s="59">
        <v>60</v>
      </c>
      <c r="AF88" s="59">
        <v>60</v>
      </c>
      <c r="AG88" s="59">
        <v>60</v>
      </c>
      <c r="AH88" s="61">
        <v>60</v>
      </c>
      <c r="AI88" s="140" t="str">
        <f>Riskregister!O88</f>
        <v>Nam</v>
      </c>
      <c r="AJ88" s="8" t="str">
        <f>Riskregister!Q88</f>
        <v>Ongoing</v>
      </c>
    </row>
    <row r="89" spans="1:36" ht="28.8" x14ac:dyDescent="0.3">
      <c r="A89" s="23">
        <f>Riskregister!A89</f>
        <v>84</v>
      </c>
      <c r="B89" s="23" t="str">
        <f>Riskregister!B89</f>
        <v>D</v>
      </c>
      <c r="C89" s="58" t="str">
        <f>Riskregister!C89</f>
        <v>Delivery</v>
      </c>
      <c r="D89" s="72" t="str">
        <f>Riskregister!D89</f>
        <v xml:space="preserve">Loss of key personnel </v>
      </c>
      <c r="E89" s="72" t="str">
        <f>Riskregister!F89</f>
        <v>Resulting in - Difficulties completing specific tasks, non-optimal solutions, additional checking and re-work</v>
      </c>
      <c r="F89" s="90">
        <f>Riskregister!T89</f>
        <v>3</v>
      </c>
      <c r="G89" s="89">
        <f>Riskregister!M89</f>
        <v>11</v>
      </c>
      <c r="H89" s="92">
        <f>Riskregister!I89</f>
        <v>15</v>
      </c>
      <c r="I89" s="139">
        <f>[1]Riskprofile!I89</f>
        <v>11</v>
      </c>
      <c r="J89" s="65">
        <v>30</v>
      </c>
      <c r="K89" s="59">
        <v>30</v>
      </c>
      <c r="L89" s="144">
        <v>3</v>
      </c>
      <c r="M89" s="62">
        <v>40</v>
      </c>
      <c r="N89" s="62">
        <v>40</v>
      </c>
      <c r="O89" s="62">
        <v>40</v>
      </c>
      <c r="P89" s="62">
        <v>40</v>
      </c>
      <c r="Q89" s="62">
        <v>40</v>
      </c>
      <c r="R89" s="62">
        <v>40</v>
      </c>
      <c r="S89" s="62">
        <v>40</v>
      </c>
      <c r="T89" s="97">
        <v>11</v>
      </c>
      <c r="U89" s="63">
        <v>50</v>
      </c>
      <c r="V89" s="63">
        <v>50</v>
      </c>
      <c r="W89" s="63">
        <v>50</v>
      </c>
      <c r="X89" s="99">
        <v>15</v>
      </c>
      <c r="Y89" s="59">
        <v>60</v>
      </c>
      <c r="Z89" s="59">
        <v>60</v>
      </c>
      <c r="AA89" s="59">
        <v>60</v>
      </c>
      <c r="AB89" s="59">
        <v>60</v>
      </c>
      <c r="AC89" s="59">
        <v>60</v>
      </c>
      <c r="AD89" s="59">
        <v>60</v>
      </c>
      <c r="AE89" s="59">
        <v>60</v>
      </c>
      <c r="AF89" s="59">
        <v>60</v>
      </c>
      <c r="AG89" s="59">
        <v>60</v>
      </c>
      <c r="AH89" s="61">
        <v>60</v>
      </c>
      <c r="AI89" s="140" t="str">
        <f>Riskregister!O89</f>
        <v>NA</v>
      </c>
      <c r="AJ89" s="8" t="str">
        <f>Riskregister!Q89</f>
        <v>Ongoing</v>
      </c>
    </row>
    <row r="90" spans="1:36" x14ac:dyDescent="0.3">
      <c r="A90" s="23">
        <f>Riskregister!A90</f>
        <v>85</v>
      </c>
      <c r="B90" s="23" t="str">
        <f>Riskregister!B90</f>
        <v>D</v>
      </c>
      <c r="C90" s="58" t="str">
        <f>Riskregister!C90</f>
        <v>Delivery</v>
      </c>
      <c r="D90" s="72" t="str">
        <f>Riskregister!D90</f>
        <v>One party terminates or defaults</v>
      </c>
      <c r="E90" s="72" t="str">
        <f>Riskregister!F90</f>
        <v>Work stoppage/delay on project implementation</v>
      </c>
      <c r="F90" s="90">
        <f>Riskregister!T90</f>
        <v>1</v>
      </c>
      <c r="G90" s="90">
        <f>Riskregister!M90</f>
        <v>1</v>
      </c>
      <c r="H90" s="53">
        <f>Riskregister!I90</f>
        <v>5</v>
      </c>
      <c r="I90" s="139">
        <f>[1]Riskprofile!I90</f>
        <v>1</v>
      </c>
      <c r="J90" s="100">
        <v>1</v>
      </c>
      <c r="K90" s="63">
        <v>50</v>
      </c>
      <c r="L90" s="63">
        <v>50</v>
      </c>
      <c r="M90" s="63">
        <v>50</v>
      </c>
      <c r="N90" s="64">
        <v>5</v>
      </c>
      <c r="O90" s="59">
        <v>60</v>
      </c>
      <c r="P90" s="59">
        <v>60</v>
      </c>
      <c r="Q90" s="59">
        <v>60</v>
      </c>
      <c r="R90" s="59">
        <v>60</v>
      </c>
      <c r="S90" s="59">
        <v>60</v>
      </c>
      <c r="T90" s="59">
        <v>60</v>
      </c>
      <c r="U90" s="59">
        <v>60</v>
      </c>
      <c r="V90" s="59">
        <v>60</v>
      </c>
      <c r="W90" s="59">
        <v>60</v>
      </c>
      <c r="X90" s="59">
        <v>60</v>
      </c>
      <c r="Y90" s="59">
        <v>60</v>
      </c>
      <c r="Z90" s="59">
        <v>60</v>
      </c>
      <c r="AA90" s="59">
        <v>60</v>
      </c>
      <c r="AB90" s="59">
        <v>60</v>
      </c>
      <c r="AC90" s="59">
        <v>60</v>
      </c>
      <c r="AD90" s="59">
        <v>60</v>
      </c>
      <c r="AE90" s="59">
        <v>60</v>
      </c>
      <c r="AF90" s="59">
        <v>60</v>
      </c>
      <c r="AG90" s="59">
        <v>60</v>
      </c>
      <c r="AH90" s="61">
        <v>60</v>
      </c>
      <c r="AI90" s="140" t="str">
        <f>Riskregister!O90</f>
        <v>NA</v>
      </c>
      <c r="AJ90" s="8" t="str">
        <f>Riskregister!Q90</f>
        <v>Ongoing</v>
      </c>
    </row>
    <row r="91" spans="1:36" ht="28.8" x14ac:dyDescent="0.3">
      <c r="A91" s="23">
        <f>Riskregister!A91</f>
        <v>86</v>
      </c>
      <c r="B91" s="23" t="str">
        <f>Riskregister!B91</f>
        <v>D</v>
      </c>
      <c r="C91" s="58" t="str">
        <f>Riskregister!C91</f>
        <v>Delivery</v>
      </c>
      <c r="D91" s="72" t="str">
        <f>Riskregister!D91</f>
        <v>Poor alignment between Employer and the Contractor resulting in lack of communication resulting in late changes and rework</v>
      </c>
      <c r="E91" s="72" t="str">
        <f>Riskregister!F91</f>
        <v>Resulting in - re-work to modify detailed design and business model.</v>
      </c>
      <c r="F91" s="90">
        <f>Riskregister!T91</f>
        <v>2</v>
      </c>
      <c r="G91" s="90">
        <f>Riskregister!M91</f>
        <v>2</v>
      </c>
      <c r="H91" s="90">
        <f>Riskregister!I91</f>
        <v>2</v>
      </c>
      <c r="I91" s="139">
        <f>[1]Riskprofile!I91</f>
        <v>2</v>
      </c>
      <c r="J91" s="65">
        <v>30</v>
      </c>
      <c r="K91" s="144">
        <v>2</v>
      </c>
      <c r="L91" s="59">
        <v>60</v>
      </c>
      <c r="M91" s="59">
        <v>60</v>
      </c>
      <c r="N91" s="59">
        <v>60</v>
      </c>
      <c r="O91" s="59">
        <v>60</v>
      </c>
      <c r="P91" s="59">
        <v>60</v>
      </c>
      <c r="Q91" s="59">
        <v>60</v>
      </c>
      <c r="R91" s="59">
        <v>60</v>
      </c>
      <c r="S91" s="59">
        <v>60</v>
      </c>
      <c r="T91" s="59">
        <v>60</v>
      </c>
      <c r="U91" s="59">
        <v>60</v>
      </c>
      <c r="V91" s="59">
        <v>60</v>
      </c>
      <c r="W91" s="59">
        <v>60</v>
      </c>
      <c r="X91" s="59">
        <v>60</v>
      </c>
      <c r="Y91" s="59">
        <v>60</v>
      </c>
      <c r="Z91" s="59">
        <v>60</v>
      </c>
      <c r="AA91" s="59">
        <v>60</v>
      </c>
      <c r="AB91" s="59">
        <v>60</v>
      </c>
      <c r="AC91" s="59">
        <v>60</v>
      </c>
      <c r="AD91" s="59">
        <v>60</v>
      </c>
      <c r="AE91" s="59">
        <v>60</v>
      </c>
      <c r="AF91" s="59">
        <v>60</v>
      </c>
      <c r="AG91" s="59">
        <v>60</v>
      </c>
      <c r="AH91" s="61">
        <v>60</v>
      </c>
      <c r="AI91" s="140" t="str">
        <f>Riskregister!O91</f>
        <v>Not yet decided</v>
      </c>
      <c r="AJ91" s="8">
        <f>Riskregister!Q91</f>
        <v>0</v>
      </c>
    </row>
    <row r="92" spans="1:36" ht="28.8" x14ac:dyDescent="0.3">
      <c r="A92" s="23">
        <f>Riskregister!A92</f>
        <v>87</v>
      </c>
      <c r="B92" s="23" t="str">
        <f>Riskregister!B92</f>
        <v>D</v>
      </c>
      <c r="C92" s="58" t="str">
        <f>Riskregister!C92</f>
        <v>Delivery</v>
      </c>
      <c r="D92" s="72" t="str">
        <f>Riskregister!D92</f>
        <v>Poor or late knowledge transfer from program to Employer at hand over</v>
      </c>
      <c r="E92" s="72" t="str">
        <f>Riskregister!F92</f>
        <v xml:space="preserve">Resulting in - commissioning and hand over delay. e.g. Operation &amp; Maintenance manuals late. </v>
      </c>
      <c r="F92" s="91">
        <f>Riskregister!T92</f>
        <v>10</v>
      </c>
      <c r="G92" s="91">
        <f>Riskregister!M92</f>
        <v>10</v>
      </c>
      <c r="H92" s="91">
        <f>Riskregister!I92</f>
        <v>10</v>
      </c>
      <c r="I92" s="139">
        <f>[1]Riskprofile!I92</f>
        <v>10</v>
      </c>
      <c r="J92" s="65">
        <v>30</v>
      </c>
      <c r="K92" s="59">
        <v>30</v>
      </c>
      <c r="L92" s="59">
        <v>30</v>
      </c>
      <c r="M92" s="59">
        <v>30</v>
      </c>
      <c r="N92" s="59">
        <v>30</v>
      </c>
      <c r="O92" s="59">
        <v>30</v>
      </c>
      <c r="P92" s="59">
        <v>30</v>
      </c>
      <c r="Q92" s="59">
        <v>30</v>
      </c>
      <c r="R92" s="59">
        <v>30</v>
      </c>
      <c r="S92" s="59">
        <v>10</v>
      </c>
      <c r="T92" s="59">
        <v>60</v>
      </c>
      <c r="U92" s="59">
        <v>60</v>
      </c>
      <c r="V92" s="59">
        <v>60</v>
      </c>
      <c r="W92" s="59">
        <v>60</v>
      </c>
      <c r="X92" s="59">
        <v>60</v>
      </c>
      <c r="Y92" s="59">
        <v>60</v>
      </c>
      <c r="Z92" s="59">
        <v>60</v>
      </c>
      <c r="AA92" s="59">
        <v>60</v>
      </c>
      <c r="AB92" s="59">
        <v>60</v>
      </c>
      <c r="AC92" s="59">
        <v>60</v>
      </c>
      <c r="AD92" s="59">
        <v>60</v>
      </c>
      <c r="AE92" s="59">
        <v>60</v>
      </c>
      <c r="AF92" s="59">
        <v>60</v>
      </c>
      <c r="AG92" s="59">
        <v>60</v>
      </c>
      <c r="AH92" s="61">
        <v>60</v>
      </c>
      <c r="AI92" s="140" t="str">
        <f>Riskregister!O92</f>
        <v>Not yet decided</v>
      </c>
      <c r="AJ92" s="8">
        <f>Riskregister!Q92</f>
        <v>0</v>
      </c>
    </row>
    <row r="93" spans="1:36" ht="28.8" x14ac:dyDescent="0.3">
      <c r="A93" s="23">
        <f>Riskregister!A93</f>
        <v>88</v>
      </c>
      <c r="B93" s="23" t="str">
        <f>Riskregister!B93</f>
        <v>D</v>
      </c>
      <c r="C93" s="58" t="str">
        <f>Riskregister!C93</f>
        <v>Delivery</v>
      </c>
      <c r="D93" s="72" t="str">
        <f>Riskregister!D93</f>
        <v>Poor performance of sub-contractors results in increased costs and/or delays</v>
      </c>
      <c r="E93" s="72" t="str">
        <f>Riskregister!F93</f>
        <v xml:space="preserve">Resulting in - Increased cost of checking and re-work, resulting in programme delays </v>
      </c>
      <c r="F93" s="53">
        <f>Riskregister!T93</f>
        <v>6</v>
      </c>
      <c r="G93" s="53">
        <f>Riskregister!M93</f>
        <v>6</v>
      </c>
      <c r="H93" s="92">
        <f>Riskregister!I93</f>
        <v>16</v>
      </c>
      <c r="I93" s="139">
        <f>[1]Riskprofile!I93</f>
        <v>6</v>
      </c>
      <c r="J93" s="65">
        <v>30</v>
      </c>
      <c r="K93" s="59">
        <v>30</v>
      </c>
      <c r="L93" s="59">
        <v>30</v>
      </c>
      <c r="M93" s="59">
        <v>30</v>
      </c>
      <c r="N93" s="59">
        <v>30</v>
      </c>
      <c r="O93" s="64">
        <v>6</v>
      </c>
      <c r="P93" s="63">
        <v>50</v>
      </c>
      <c r="Q93" s="63">
        <v>50</v>
      </c>
      <c r="R93" s="63">
        <v>50</v>
      </c>
      <c r="S93" s="63">
        <v>50</v>
      </c>
      <c r="T93" s="63">
        <v>50</v>
      </c>
      <c r="U93" s="63">
        <v>50</v>
      </c>
      <c r="V93" s="63">
        <v>50</v>
      </c>
      <c r="W93" s="63">
        <v>50</v>
      </c>
      <c r="X93" s="63">
        <v>50</v>
      </c>
      <c r="Y93" s="99">
        <v>16</v>
      </c>
      <c r="Z93" s="59">
        <v>60</v>
      </c>
      <c r="AA93" s="59">
        <v>60</v>
      </c>
      <c r="AB93" s="59">
        <v>60</v>
      </c>
      <c r="AC93" s="59">
        <v>60</v>
      </c>
      <c r="AD93" s="59">
        <v>60</v>
      </c>
      <c r="AE93" s="59">
        <v>60</v>
      </c>
      <c r="AF93" s="59">
        <v>60</v>
      </c>
      <c r="AG93" s="59">
        <v>60</v>
      </c>
      <c r="AH93" s="61">
        <v>60</v>
      </c>
      <c r="AI93" s="140" t="str">
        <f>Riskregister!O93</f>
        <v>Not yet decided</v>
      </c>
      <c r="AJ93" s="8">
        <f>Riskregister!Q93</f>
        <v>0</v>
      </c>
    </row>
    <row r="94" spans="1:36" ht="43.2" x14ac:dyDescent="0.3">
      <c r="A94" s="23">
        <f>Riskregister!A94</f>
        <v>89</v>
      </c>
      <c r="B94" s="23" t="str">
        <f>Riskregister!B94</f>
        <v>D</v>
      </c>
      <c r="C94" s="58" t="str">
        <f>Riskregister!C94</f>
        <v>Delivery</v>
      </c>
      <c r="D94" s="72" t="str">
        <f>Riskregister!D94</f>
        <v>Poor procurement / delivery model results in increase programme costs and/or delays</v>
      </c>
      <c r="E94" s="72" t="str">
        <f>Riskregister!F94</f>
        <v>Resulting in - Delays and increased costs. Master plan objectives not delivered. Equipment Supplied does not meet performance agreed for purchase</v>
      </c>
      <c r="F94" s="89">
        <f>Riskregister!T94</f>
        <v>11</v>
      </c>
      <c r="G94" s="89">
        <f>Riskregister!M94</f>
        <v>11</v>
      </c>
      <c r="H94" s="92">
        <f>Riskregister!I94</f>
        <v>15</v>
      </c>
      <c r="I94" s="139">
        <f>[1]Riskprofile!I94</f>
        <v>11</v>
      </c>
      <c r="J94" s="65">
        <v>30</v>
      </c>
      <c r="K94" s="59">
        <v>30</v>
      </c>
      <c r="L94" s="59">
        <v>30</v>
      </c>
      <c r="M94" s="59">
        <v>30</v>
      </c>
      <c r="N94" s="59">
        <v>30</v>
      </c>
      <c r="O94" s="59">
        <v>30</v>
      </c>
      <c r="P94" s="59">
        <v>30</v>
      </c>
      <c r="Q94" s="59">
        <v>30</v>
      </c>
      <c r="R94" s="59">
        <v>30</v>
      </c>
      <c r="S94" s="59">
        <v>30</v>
      </c>
      <c r="T94" s="97">
        <v>11</v>
      </c>
      <c r="U94" s="63">
        <v>50</v>
      </c>
      <c r="V94" s="63">
        <v>50</v>
      </c>
      <c r="W94" s="63">
        <v>50</v>
      </c>
      <c r="X94" s="99">
        <v>15</v>
      </c>
      <c r="Y94" s="59">
        <v>60</v>
      </c>
      <c r="Z94" s="59">
        <v>60</v>
      </c>
      <c r="AA94" s="59">
        <v>60</v>
      </c>
      <c r="AB94" s="59">
        <v>60</v>
      </c>
      <c r="AC94" s="59">
        <v>60</v>
      </c>
      <c r="AD94" s="59">
        <v>60</v>
      </c>
      <c r="AE94" s="59">
        <v>60</v>
      </c>
      <c r="AF94" s="59">
        <v>60</v>
      </c>
      <c r="AG94" s="59">
        <v>60</v>
      </c>
      <c r="AH94" s="61">
        <v>60</v>
      </c>
      <c r="AI94" s="140" t="str">
        <f>Riskregister!O94</f>
        <v>Not yet decided</v>
      </c>
      <c r="AJ94" s="8">
        <f>Riskregister!Q94</f>
        <v>0</v>
      </c>
    </row>
    <row r="95" spans="1:36" ht="28.8" x14ac:dyDescent="0.3">
      <c r="A95" s="23">
        <f>Riskregister!A95</f>
        <v>90</v>
      </c>
      <c r="B95" s="23" t="str">
        <f>Riskregister!B95</f>
        <v>D</v>
      </c>
      <c r="C95" s="58" t="str">
        <f>Riskregister!C95</f>
        <v>Delivery</v>
      </c>
      <c r="D95" s="72" t="str">
        <f>Riskregister!D95</f>
        <v>Poor Contractor team performance leads to missed programme milestones and/or sub-optimal solutions</v>
      </c>
      <c r="E95" s="72" t="str">
        <f>Riskregister!F95</f>
        <v>Resulting in - Delays in the programme, poor quality results and failure to fully meet Master Plan objectives.</v>
      </c>
      <c r="F95" s="53">
        <f>Riskregister!T95</f>
        <v>6</v>
      </c>
      <c r="G95" s="89">
        <f>Riskregister!M95</f>
        <v>12</v>
      </c>
      <c r="H95" s="54">
        <f>Riskregister!I95</f>
        <v>21</v>
      </c>
      <c r="I95" s="139">
        <f>[1]Riskprofile!I95</f>
        <v>12</v>
      </c>
      <c r="J95" s="65">
        <v>30</v>
      </c>
      <c r="K95" s="59">
        <v>30</v>
      </c>
      <c r="L95" s="59">
        <v>30</v>
      </c>
      <c r="M95" s="59">
        <v>30</v>
      </c>
      <c r="N95" s="59">
        <v>30</v>
      </c>
      <c r="O95" s="64">
        <v>6</v>
      </c>
      <c r="P95" s="62">
        <v>40</v>
      </c>
      <c r="Q95" s="62">
        <v>40</v>
      </c>
      <c r="R95" s="62">
        <v>40</v>
      </c>
      <c r="S95" s="62">
        <v>40</v>
      </c>
      <c r="T95" s="62">
        <v>40</v>
      </c>
      <c r="U95" s="97">
        <v>12</v>
      </c>
      <c r="V95" s="63">
        <v>50</v>
      </c>
      <c r="W95" s="63">
        <v>50</v>
      </c>
      <c r="X95" s="63">
        <v>50</v>
      </c>
      <c r="Y95" s="63">
        <v>50</v>
      </c>
      <c r="Z95" s="63">
        <v>50</v>
      </c>
      <c r="AA95" s="63">
        <v>50</v>
      </c>
      <c r="AB95" s="63">
        <v>50</v>
      </c>
      <c r="AC95" s="63">
        <v>50</v>
      </c>
      <c r="AD95" s="60">
        <v>21</v>
      </c>
      <c r="AE95" s="59">
        <v>60</v>
      </c>
      <c r="AF95" s="59">
        <v>60</v>
      </c>
      <c r="AG95" s="59">
        <v>60</v>
      </c>
      <c r="AH95" s="61">
        <v>60</v>
      </c>
      <c r="AI95" s="140" t="str">
        <f>Riskregister!O95</f>
        <v>Not yet decided</v>
      </c>
      <c r="AJ95" s="8">
        <f>Riskregister!Q95</f>
        <v>0</v>
      </c>
    </row>
    <row r="96" spans="1:36" ht="28.8" x14ac:dyDescent="0.3">
      <c r="A96" s="23">
        <f>Riskregister!A96</f>
        <v>91</v>
      </c>
      <c r="B96" s="23" t="str">
        <f>Riskregister!B96</f>
        <v>D</v>
      </c>
      <c r="C96" s="58" t="str">
        <f>Riskregister!C96</f>
        <v>Delivery</v>
      </c>
      <c r="D96" s="72" t="str">
        <f>Riskregister!D96</f>
        <v>Project difficulties resulting from poor performance of Employer staff.</v>
      </c>
      <c r="E96" s="72" t="str">
        <f>Riskregister!F96</f>
        <v>Resulting in - slow working and approvals, delays in programme implementation</v>
      </c>
      <c r="F96" s="89">
        <f>Riskregister!T96</f>
        <v>11</v>
      </c>
      <c r="G96" s="89">
        <f>Riskregister!M96</f>
        <v>11</v>
      </c>
      <c r="H96" s="89">
        <f>Riskregister!I96</f>
        <v>11</v>
      </c>
      <c r="I96" s="139">
        <f>[1]Riskprofile!I96</f>
        <v>11</v>
      </c>
      <c r="J96" s="65">
        <v>30</v>
      </c>
      <c r="K96" s="59">
        <v>30</v>
      </c>
      <c r="L96" s="59">
        <v>30</v>
      </c>
      <c r="M96" s="59">
        <v>30</v>
      </c>
      <c r="N96" s="59">
        <v>30</v>
      </c>
      <c r="O96" s="59">
        <v>30</v>
      </c>
      <c r="P96" s="59">
        <v>30</v>
      </c>
      <c r="Q96" s="59">
        <v>30</v>
      </c>
      <c r="R96" s="59">
        <v>30</v>
      </c>
      <c r="S96" s="59">
        <v>30</v>
      </c>
      <c r="T96" s="97">
        <v>11</v>
      </c>
      <c r="U96" s="59">
        <v>60</v>
      </c>
      <c r="V96" s="59">
        <v>60</v>
      </c>
      <c r="W96" s="59">
        <v>60</v>
      </c>
      <c r="X96" s="59">
        <v>60</v>
      </c>
      <c r="Y96" s="59">
        <v>60</v>
      </c>
      <c r="Z96" s="59">
        <v>60</v>
      </c>
      <c r="AA96" s="59">
        <v>60</v>
      </c>
      <c r="AB96" s="59">
        <v>60</v>
      </c>
      <c r="AC96" s="59">
        <v>60</v>
      </c>
      <c r="AD96" s="59">
        <v>60</v>
      </c>
      <c r="AE96" s="59">
        <v>60</v>
      </c>
      <c r="AF96" s="59">
        <v>60</v>
      </c>
      <c r="AG96" s="59">
        <v>60</v>
      </c>
      <c r="AH96" s="61">
        <v>60</v>
      </c>
      <c r="AI96" s="140" t="str">
        <f>Riskregister!O96</f>
        <v>Not yet decided</v>
      </c>
      <c r="AJ96" s="8">
        <f>Riskregister!Q96</f>
        <v>0</v>
      </c>
    </row>
    <row r="97" spans="1:36" ht="28.8" x14ac:dyDescent="0.3">
      <c r="A97" s="23">
        <f>Riskregister!A97</f>
        <v>92</v>
      </c>
      <c r="B97" s="23" t="str">
        <f>Riskregister!B97</f>
        <v>D</v>
      </c>
      <c r="C97" s="58" t="str">
        <f>Riskregister!C97</f>
        <v>Delivery</v>
      </c>
      <c r="D97" s="72" t="str">
        <f>Riskregister!D97</f>
        <v>Project programming difficulties because of hidden agendas</v>
      </c>
      <c r="E97" s="72" t="str">
        <f>Riskregister!F97</f>
        <v>Resulting in - Non-optimal solutions, failure to meet programme milestones or targets</v>
      </c>
      <c r="F97" s="90">
        <f>Riskregister!T97</f>
        <v>1</v>
      </c>
      <c r="G97" s="90">
        <f>Riskregister!M97</f>
        <v>1</v>
      </c>
      <c r="H97" s="90">
        <f>Riskregister!I97</f>
        <v>1</v>
      </c>
      <c r="I97" s="139">
        <f>[1]Riskprofile!I97</f>
        <v>1</v>
      </c>
      <c r="J97" s="100">
        <v>1</v>
      </c>
      <c r="K97" s="59">
        <v>60</v>
      </c>
      <c r="L97" s="59">
        <v>60</v>
      </c>
      <c r="M97" s="59">
        <v>60</v>
      </c>
      <c r="N97" s="59">
        <v>60</v>
      </c>
      <c r="O97" s="59">
        <v>60</v>
      </c>
      <c r="P97" s="59">
        <v>60</v>
      </c>
      <c r="Q97" s="59">
        <v>60</v>
      </c>
      <c r="R97" s="59">
        <v>60</v>
      </c>
      <c r="S97" s="59">
        <v>60</v>
      </c>
      <c r="T97" s="59">
        <v>60</v>
      </c>
      <c r="U97" s="59">
        <v>60</v>
      </c>
      <c r="V97" s="59">
        <v>60</v>
      </c>
      <c r="W97" s="59">
        <v>60</v>
      </c>
      <c r="X97" s="59">
        <v>60</v>
      </c>
      <c r="Y97" s="59">
        <v>60</v>
      </c>
      <c r="Z97" s="59">
        <v>60</v>
      </c>
      <c r="AA97" s="59">
        <v>60</v>
      </c>
      <c r="AB97" s="59">
        <v>60</v>
      </c>
      <c r="AC97" s="59">
        <v>60</v>
      </c>
      <c r="AD97" s="59">
        <v>60</v>
      </c>
      <c r="AE97" s="59">
        <v>60</v>
      </c>
      <c r="AF97" s="59">
        <v>60</v>
      </c>
      <c r="AG97" s="59">
        <v>60</v>
      </c>
      <c r="AH97" s="61">
        <v>60</v>
      </c>
      <c r="AI97" s="140" t="str">
        <f>Riskregister!O97</f>
        <v>Not yet decided</v>
      </c>
      <c r="AJ97" s="8">
        <f>Riskregister!Q97</f>
        <v>0</v>
      </c>
    </row>
    <row r="98" spans="1:36" x14ac:dyDescent="0.3">
      <c r="A98" s="23">
        <f>Riskregister!A98</f>
        <v>93</v>
      </c>
      <c r="B98" s="23" t="str">
        <f>Riskregister!B98</f>
        <v>D</v>
      </c>
      <c r="C98" s="58" t="str">
        <f>Riskregister!C98</f>
        <v>Delivery</v>
      </c>
      <c r="D98" s="72" t="str">
        <f>Riskregister!D98</f>
        <v>Permit Acquisition Issue (political)</v>
      </c>
      <c r="E98" s="72" t="str">
        <f>Riskregister!F98</f>
        <v>Delay in project implementation</v>
      </c>
      <c r="F98" s="92">
        <f>Riskregister!T98</f>
        <v>16</v>
      </c>
      <c r="G98" s="54">
        <f>Riskregister!M98</f>
        <v>21</v>
      </c>
      <c r="H98" s="54">
        <f>Riskregister!I98</f>
        <v>21</v>
      </c>
      <c r="I98" s="139">
        <f>[1]Riskprofile!I98</f>
        <v>21</v>
      </c>
      <c r="J98" s="65">
        <v>30</v>
      </c>
      <c r="K98" s="59">
        <v>30</v>
      </c>
      <c r="L98" s="59">
        <v>30</v>
      </c>
      <c r="M98" s="59">
        <v>30</v>
      </c>
      <c r="N98" s="59">
        <v>30</v>
      </c>
      <c r="O98" s="59">
        <v>30</v>
      </c>
      <c r="P98" s="59">
        <v>30</v>
      </c>
      <c r="Q98" s="59">
        <v>30</v>
      </c>
      <c r="R98" s="59">
        <v>30</v>
      </c>
      <c r="S98" s="59">
        <v>30</v>
      </c>
      <c r="T98" s="59">
        <v>30</v>
      </c>
      <c r="U98" s="59">
        <v>30</v>
      </c>
      <c r="V98" s="59">
        <v>30</v>
      </c>
      <c r="W98" s="59">
        <v>30</v>
      </c>
      <c r="X98" s="59">
        <v>30</v>
      </c>
      <c r="Y98" s="99">
        <v>16</v>
      </c>
      <c r="Z98" s="62">
        <v>40</v>
      </c>
      <c r="AA98" s="62">
        <v>40</v>
      </c>
      <c r="AB98" s="62">
        <v>40</v>
      </c>
      <c r="AC98" s="62">
        <v>40</v>
      </c>
      <c r="AD98" s="60">
        <v>21</v>
      </c>
      <c r="AE98" s="59">
        <v>60</v>
      </c>
      <c r="AF98" s="59">
        <v>60</v>
      </c>
      <c r="AG98" s="59">
        <v>60</v>
      </c>
      <c r="AH98" s="61">
        <v>60</v>
      </c>
      <c r="AI98" s="140" t="str">
        <f>Riskregister!O98</f>
        <v>Not yet decided</v>
      </c>
      <c r="AJ98" s="8">
        <f>Riskregister!Q98</f>
        <v>0</v>
      </c>
    </row>
    <row r="99" spans="1:36" ht="28.8" x14ac:dyDescent="0.3">
      <c r="A99" s="23">
        <f>Riskregister!A99</f>
        <v>94</v>
      </c>
      <c r="B99" s="23" t="str">
        <f>Riskregister!B99</f>
        <v>D</v>
      </c>
      <c r="C99" s="58" t="str">
        <f>Riskregister!C99</f>
        <v>Delivery</v>
      </c>
      <c r="D99" s="72" t="str">
        <f>Riskregister!D99</f>
        <v>Resistance to change in Maynilad</v>
      </c>
      <c r="E99" s="72" t="str">
        <f>Riskregister!F99</f>
        <v>Resulting in - Poor team moral and performance increased costs slow working.</v>
      </c>
      <c r="F99" s="91">
        <f>Riskregister!T99</f>
        <v>10</v>
      </c>
      <c r="G99" s="91">
        <f>Riskregister!M99</f>
        <v>10</v>
      </c>
      <c r="H99" s="91">
        <f>Riskregister!I99</f>
        <v>10</v>
      </c>
      <c r="I99" s="139">
        <f>[1]Riskprofile!I99</f>
        <v>10</v>
      </c>
      <c r="J99" s="65">
        <v>30</v>
      </c>
      <c r="K99" s="59">
        <v>30</v>
      </c>
      <c r="L99" s="59">
        <v>30</v>
      </c>
      <c r="M99" s="59">
        <v>30</v>
      </c>
      <c r="N99" s="59">
        <v>30</v>
      </c>
      <c r="O99" s="59">
        <v>30</v>
      </c>
      <c r="P99" s="59">
        <v>30</v>
      </c>
      <c r="Q99" s="59">
        <v>30</v>
      </c>
      <c r="R99" s="59">
        <v>30</v>
      </c>
      <c r="S99" s="59">
        <v>10</v>
      </c>
      <c r="T99" s="59">
        <v>60</v>
      </c>
      <c r="U99" s="59">
        <v>60</v>
      </c>
      <c r="V99" s="59">
        <v>60</v>
      </c>
      <c r="W99" s="59">
        <v>60</v>
      </c>
      <c r="X99" s="59">
        <v>60</v>
      </c>
      <c r="Y99" s="59">
        <v>60</v>
      </c>
      <c r="Z99" s="59">
        <v>60</v>
      </c>
      <c r="AA99" s="59">
        <v>60</v>
      </c>
      <c r="AB99" s="59">
        <v>60</v>
      </c>
      <c r="AC99" s="59">
        <v>60</v>
      </c>
      <c r="AD99" s="59">
        <v>60</v>
      </c>
      <c r="AE99" s="59">
        <v>60</v>
      </c>
      <c r="AF99" s="59">
        <v>60</v>
      </c>
      <c r="AG99" s="59">
        <v>60</v>
      </c>
      <c r="AH99" s="61">
        <v>60</v>
      </c>
      <c r="AI99" s="140" t="str">
        <f>Riskregister!O99</f>
        <v>Not yet decided</v>
      </c>
      <c r="AJ99" s="8">
        <f>Riskregister!Q99</f>
        <v>0</v>
      </c>
    </row>
    <row r="100" spans="1:36" ht="28.8" x14ac:dyDescent="0.3">
      <c r="A100" s="23">
        <f>Riskregister!A100</f>
        <v>95</v>
      </c>
      <c r="B100" s="23" t="str">
        <f>Riskregister!B100</f>
        <v>D</v>
      </c>
      <c r="C100" s="58" t="str">
        <f>Riskregister!C100</f>
        <v>Delivery</v>
      </c>
      <c r="D100" s="72" t="str">
        <f>Riskregister!D100</f>
        <v>Scope creep caused by unplanned activities. Improper scoping</v>
      </c>
      <c r="E100" s="72" t="str">
        <f>Riskregister!F100</f>
        <v>Resulting in - scope creep, additional costs and delays to the programme.</v>
      </c>
      <c r="F100" s="92">
        <f>Riskregister!T100</f>
        <v>16</v>
      </c>
      <c r="G100" s="54">
        <f>Riskregister!M100</f>
        <v>21</v>
      </c>
      <c r="H100" s="54">
        <f>Riskregister!I100</f>
        <v>21</v>
      </c>
      <c r="I100" s="139">
        <f>[1]Riskprofile!I100</f>
        <v>21</v>
      </c>
      <c r="J100" s="65">
        <v>30</v>
      </c>
      <c r="K100" s="59">
        <v>30</v>
      </c>
      <c r="L100" s="59">
        <v>30</v>
      </c>
      <c r="M100" s="59">
        <v>30</v>
      </c>
      <c r="N100" s="59">
        <v>30</v>
      </c>
      <c r="O100" s="59">
        <v>30</v>
      </c>
      <c r="P100" s="59">
        <v>30</v>
      </c>
      <c r="Q100" s="59">
        <v>30</v>
      </c>
      <c r="R100" s="59">
        <v>30</v>
      </c>
      <c r="S100" s="59">
        <v>30</v>
      </c>
      <c r="T100" s="59">
        <v>30</v>
      </c>
      <c r="U100" s="59">
        <v>30</v>
      </c>
      <c r="V100" s="59">
        <v>30</v>
      </c>
      <c r="W100" s="59">
        <v>30</v>
      </c>
      <c r="X100" s="59">
        <v>30</v>
      </c>
      <c r="Y100" s="99">
        <v>16</v>
      </c>
      <c r="Z100" s="62">
        <v>40</v>
      </c>
      <c r="AA100" s="62">
        <v>40</v>
      </c>
      <c r="AB100" s="62">
        <v>40</v>
      </c>
      <c r="AC100" s="62">
        <v>40</v>
      </c>
      <c r="AD100" s="60">
        <v>21</v>
      </c>
      <c r="AE100" s="59">
        <v>60</v>
      </c>
      <c r="AF100" s="59">
        <v>60</v>
      </c>
      <c r="AG100" s="59">
        <v>60</v>
      </c>
      <c r="AH100" s="61">
        <v>60</v>
      </c>
      <c r="AI100" s="140" t="str">
        <f>Riskregister!O100</f>
        <v>Not yet decided</v>
      </c>
      <c r="AJ100" s="8">
        <f>Riskregister!Q100</f>
        <v>0</v>
      </c>
    </row>
    <row r="101" spans="1:36" ht="28.8" x14ac:dyDescent="0.3">
      <c r="A101" s="23">
        <f>Riskregister!A101</f>
        <v>96</v>
      </c>
      <c r="B101" s="23" t="str">
        <f>Riskregister!B101</f>
        <v>D</v>
      </c>
      <c r="C101" s="58" t="str">
        <f>Riskregister!C101</f>
        <v>Delivery</v>
      </c>
      <c r="D101" s="72" t="str">
        <f>Riskregister!D101</f>
        <v>Tight time frames compounds shortage of resources e.g. mobilising for key discussions or workshops</v>
      </c>
      <c r="E101" s="72" t="str">
        <f>Riskregister!F101</f>
        <v>Resulting in - sub-standard working, re-work and increased costs and delays</v>
      </c>
      <c r="F101" s="91">
        <f>Riskregister!T101</f>
        <v>9</v>
      </c>
      <c r="G101" s="91">
        <f>Riskregister!M101</f>
        <v>9</v>
      </c>
      <c r="H101" s="91">
        <f>Riskregister!I101</f>
        <v>9</v>
      </c>
      <c r="I101" s="139">
        <f>[1]Riskprofile!I101</f>
        <v>9</v>
      </c>
      <c r="J101" s="65">
        <v>30</v>
      </c>
      <c r="K101" s="59">
        <v>30</v>
      </c>
      <c r="L101" s="59">
        <v>30</v>
      </c>
      <c r="M101" s="59">
        <v>30</v>
      </c>
      <c r="N101" s="59">
        <v>30</v>
      </c>
      <c r="O101" s="59">
        <v>30</v>
      </c>
      <c r="P101" s="59">
        <v>30</v>
      </c>
      <c r="Q101" s="59">
        <v>30</v>
      </c>
      <c r="R101" s="59">
        <v>9</v>
      </c>
      <c r="S101" s="59">
        <v>60</v>
      </c>
      <c r="T101" s="59">
        <v>60</v>
      </c>
      <c r="U101" s="59">
        <v>60</v>
      </c>
      <c r="V101" s="59">
        <v>60</v>
      </c>
      <c r="W101" s="59">
        <v>60</v>
      </c>
      <c r="X101" s="59">
        <v>60</v>
      </c>
      <c r="Y101" s="59">
        <v>60</v>
      </c>
      <c r="Z101" s="59">
        <v>60</v>
      </c>
      <c r="AA101" s="59">
        <v>60</v>
      </c>
      <c r="AB101" s="59">
        <v>60</v>
      </c>
      <c r="AC101" s="59">
        <v>60</v>
      </c>
      <c r="AD101" s="59">
        <v>60</v>
      </c>
      <c r="AE101" s="59">
        <v>60</v>
      </c>
      <c r="AF101" s="59">
        <v>60</v>
      </c>
      <c r="AG101" s="59">
        <v>60</v>
      </c>
      <c r="AH101" s="61">
        <v>60</v>
      </c>
      <c r="AI101" s="140" t="str">
        <f>Riskregister!O101</f>
        <v>Not yet decided</v>
      </c>
      <c r="AJ101" s="8">
        <f>Riskregister!Q101</f>
        <v>0</v>
      </c>
    </row>
    <row r="102" spans="1:36" ht="28.8" x14ac:dyDescent="0.3">
      <c r="A102" s="23">
        <f>Riskregister!A102</f>
        <v>97</v>
      </c>
      <c r="B102" s="23" t="str">
        <f>Riskregister!B102</f>
        <v>D</v>
      </c>
      <c r="C102" s="58" t="str">
        <f>Riskregister!C102</f>
        <v>Delivery</v>
      </c>
      <c r="D102" s="72" t="str">
        <f>Riskregister!D102</f>
        <v xml:space="preserve">Unauthorised personnel speak to media and provide incorrect messages causing confusion, adversely impacting project </v>
      </c>
      <c r="E102" s="72" t="str">
        <f>Riskregister!F102</f>
        <v>Resulting in - lack of 'buy-in' for project, failure to fully meet Master Plan objectives</v>
      </c>
      <c r="F102" s="53">
        <f>Riskregister!T102</f>
        <v>5</v>
      </c>
      <c r="G102" s="53">
        <f>Riskregister!M102</f>
        <v>5</v>
      </c>
      <c r="H102" s="53">
        <f>Riskregister!I102</f>
        <v>5</v>
      </c>
      <c r="I102" s="139">
        <f>[1]Riskprofile!I102</f>
        <v>5</v>
      </c>
      <c r="J102" s="65">
        <v>30</v>
      </c>
      <c r="K102" s="59">
        <v>30</v>
      </c>
      <c r="L102" s="59">
        <v>30</v>
      </c>
      <c r="M102" s="59">
        <v>30</v>
      </c>
      <c r="N102" s="64">
        <v>5</v>
      </c>
      <c r="O102" s="59">
        <v>60</v>
      </c>
      <c r="P102" s="59">
        <v>60</v>
      </c>
      <c r="Q102" s="59">
        <v>60</v>
      </c>
      <c r="R102" s="59">
        <v>60</v>
      </c>
      <c r="S102" s="59">
        <v>60</v>
      </c>
      <c r="T102" s="59">
        <v>60</v>
      </c>
      <c r="U102" s="59">
        <v>60</v>
      </c>
      <c r="V102" s="59">
        <v>60</v>
      </c>
      <c r="W102" s="59">
        <v>60</v>
      </c>
      <c r="X102" s="59">
        <v>60</v>
      </c>
      <c r="Y102" s="59">
        <v>60</v>
      </c>
      <c r="Z102" s="59">
        <v>60</v>
      </c>
      <c r="AA102" s="59">
        <v>60</v>
      </c>
      <c r="AB102" s="59">
        <v>60</v>
      </c>
      <c r="AC102" s="59">
        <v>60</v>
      </c>
      <c r="AD102" s="59">
        <v>60</v>
      </c>
      <c r="AE102" s="59">
        <v>60</v>
      </c>
      <c r="AF102" s="59">
        <v>60</v>
      </c>
      <c r="AG102" s="59">
        <v>60</v>
      </c>
      <c r="AH102" s="61">
        <v>60</v>
      </c>
      <c r="AI102" s="140" t="str">
        <f>Riskregister!O102</f>
        <v>Not yet decided</v>
      </c>
      <c r="AJ102" s="8">
        <f>Riskregister!Q102</f>
        <v>0</v>
      </c>
    </row>
    <row r="103" spans="1:36" ht="28.8" x14ac:dyDescent="0.3">
      <c r="A103" s="23">
        <f>Riskregister!A103</f>
        <v>98</v>
      </c>
      <c r="B103" s="23" t="str">
        <f>Riskregister!B103</f>
        <v>D</v>
      </c>
      <c r="C103" s="58" t="str">
        <f>Riskregister!C103</f>
        <v>Delivery</v>
      </c>
      <c r="D103" s="72" t="str">
        <f>Riskregister!D103</f>
        <v>Unavailability/loss of key person delays project</v>
      </c>
      <c r="E103" s="72" t="str">
        <f>Riskregister!F103</f>
        <v xml:space="preserve">Resulting in - Delays while replacement found or extra levels of checking imposed. Disruption to information flow. Cost overruns </v>
      </c>
      <c r="F103" s="89">
        <f>Riskregister!T103</f>
        <v>11</v>
      </c>
      <c r="G103" s="89">
        <f>Riskregister!M103</f>
        <v>11</v>
      </c>
      <c r="H103" s="89">
        <f>Riskregister!I103</f>
        <v>11</v>
      </c>
      <c r="I103" s="139">
        <f>[1]Riskprofile!I103</f>
        <v>11</v>
      </c>
      <c r="J103" s="65">
        <v>30</v>
      </c>
      <c r="K103" s="59">
        <v>30</v>
      </c>
      <c r="L103" s="59">
        <v>30</v>
      </c>
      <c r="M103" s="59">
        <v>30</v>
      </c>
      <c r="N103" s="59">
        <v>30</v>
      </c>
      <c r="O103" s="59">
        <v>30</v>
      </c>
      <c r="P103" s="59">
        <v>30</v>
      </c>
      <c r="Q103" s="59">
        <v>30</v>
      </c>
      <c r="R103" s="59">
        <v>30</v>
      </c>
      <c r="S103" s="59">
        <v>30</v>
      </c>
      <c r="T103" s="97">
        <v>11</v>
      </c>
      <c r="U103" s="59">
        <v>60</v>
      </c>
      <c r="V103" s="59">
        <v>60</v>
      </c>
      <c r="W103" s="59">
        <v>60</v>
      </c>
      <c r="X103" s="59">
        <v>60</v>
      </c>
      <c r="Y103" s="59">
        <v>60</v>
      </c>
      <c r="Z103" s="59">
        <v>60</v>
      </c>
      <c r="AA103" s="59">
        <v>60</v>
      </c>
      <c r="AB103" s="59">
        <v>60</v>
      </c>
      <c r="AC103" s="59">
        <v>60</v>
      </c>
      <c r="AD103" s="59">
        <v>60</v>
      </c>
      <c r="AE103" s="59">
        <v>60</v>
      </c>
      <c r="AF103" s="59">
        <v>60</v>
      </c>
      <c r="AG103" s="59">
        <v>60</v>
      </c>
      <c r="AH103" s="61">
        <v>60</v>
      </c>
      <c r="AI103" s="140" t="str">
        <f>Riskregister!O103</f>
        <v>Not yet decided</v>
      </c>
      <c r="AJ103" s="8">
        <f>Riskregister!Q103</f>
        <v>0</v>
      </c>
    </row>
    <row r="104" spans="1:36" ht="28.8" x14ac:dyDescent="0.3">
      <c r="A104" s="23">
        <f>Riskregister!A104</f>
        <v>99</v>
      </c>
      <c r="B104" s="23" t="str">
        <f>Riskregister!B104</f>
        <v>D</v>
      </c>
      <c r="C104" s="58" t="str">
        <f>Riskregister!C104</f>
        <v>Delivery</v>
      </c>
      <c r="D104" s="72" t="str">
        <f>Riskregister!D104</f>
        <v>Unsuccessful sub-contractor selection process resulting in delays and non-optimal ways of working</v>
      </c>
      <c r="E104" s="72" t="str">
        <f>Riskregister!F104</f>
        <v>Resulting in - increased construction costs and delays in commissioning</v>
      </c>
      <c r="F104" s="53">
        <f>Riskregister!T104</f>
        <v>5</v>
      </c>
      <c r="G104" s="53">
        <f>Riskregister!M104</f>
        <v>5</v>
      </c>
      <c r="H104" s="53">
        <f>Riskregister!I104</f>
        <v>5</v>
      </c>
      <c r="I104" s="139">
        <f>[1]Riskprofile!I104</f>
        <v>5</v>
      </c>
      <c r="J104" s="65">
        <v>30</v>
      </c>
      <c r="K104" s="59">
        <v>30</v>
      </c>
      <c r="L104" s="59">
        <v>30</v>
      </c>
      <c r="M104" s="59">
        <v>30</v>
      </c>
      <c r="N104" s="64">
        <v>5</v>
      </c>
      <c r="O104" s="59">
        <v>60</v>
      </c>
      <c r="P104" s="59">
        <v>60</v>
      </c>
      <c r="Q104" s="59">
        <v>60</v>
      </c>
      <c r="R104" s="59">
        <v>60</v>
      </c>
      <c r="S104" s="59">
        <v>60</v>
      </c>
      <c r="T104" s="59">
        <v>60</v>
      </c>
      <c r="U104" s="59">
        <v>60</v>
      </c>
      <c r="V104" s="59">
        <v>60</v>
      </c>
      <c r="W104" s="59">
        <v>60</v>
      </c>
      <c r="X104" s="59">
        <v>60</v>
      </c>
      <c r="Y104" s="59">
        <v>60</v>
      </c>
      <c r="Z104" s="59">
        <v>60</v>
      </c>
      <c r="AA104" s="59">
        <v>60</v>
      </c>
      <c r="AB104" s="59">
        <v>60</v>
      </c>
      <c r="AC104" s="59">
        <v>60</v>
      </c>
      <c r="AD104" s="59">
        <v>60</v>
      </c>
      <c r="AE104" s="59">
        <v>60</v>
      </c>
      <c r="AF104" s="59">
        <v>60</v>
      </c>
      <c r="AG104" s="59">
        <v>60</v>
      </c>
      <c r="AH104" s="61">
        <v>60</v>
      </c>
      <c r="AI104" s="140" t="str">
        <f>Riskregister!O104</f>
        <v>Not yet decided</v>
      </c>
      <c r="AJ104" s="8">
        <f>Riskregister!Q104</f>
        <v>0</v>
      </c>
    </row>
    <row r="105" spans="1:36" ht="28.8" x14ac:dyDescent="0.3">
      <c r="A105" s="23">
        <f>Riskregister!A105</f>
        <v>100</v>
      </c>
      <c r="B105" s="23" t="str">
        <f>Riskregister!B105</f>
        <v>D</v>
      </c>
      <c r="C105" s="58" t="str">
        <f>Riskregister!C105</f>
        <v>Delivery</v>
      </c>
      <c r="D105" s="72" t="str">
        <f>Riskregister!D105</f>
        <v>Variability in exchange rates for overseas supplied items (pumps, pipes, valves etc)</v>
      </c>
      <c r="E105" s="72" t="str">
        <f>Riskregister!F105</f>
        <v>Resulting in increased procurement costs</v>
      </c>
      <c r="F105" s="90">
        <f>Riskregister!T105</f>
        <v>1</v>
      </c>
      <c r="G105" s="90">
        <f>Riskregister!M105</f>
        <v>1</v>
      </c>
      <c r="H105" s="90">
        <f>Riskregister!I105</f>
        <v>1</v>
      </c>
      <c r="I105" s="139">
        <f>[1]Riskprofile!I105</f>
        <v>1</v>
      </c>
      <c r="J105" s="100">
        <v>1</v>
      </c>
      <c r="K105" s="59">
        <v>60</v>
      </c>
      <c r="L105" s="59">
        <v>60</v>
      </c>
      <c r="M105" s="59">
        <v>60</v>
      </c>
      <c r="N105" s="59">
        <v>60</v>
      </c>
      <c r="O105" s="59">
        <v>60</v>
      </c>
      <c r="P105" s="59">
        <v>60</v>
      </c>
      <c r="Q105" s="59">
        <v>60</v>
      </c>
      <c r="R105" s="59">
        <v>60</v>
      </c>
      <c r="S105" s="59">
        <v>60</v>
      </c>
      <c r="T105" s="59">
        <v>60</v>
      </c>
      <c r="U105" s="59">
        <v>60</v>
      </c>
      <c r="V105" s="59">
        <v>60</v>
      </c>
      <c r="W105" s="59">
        <v>60</v>
      </c>
      <c r="X105" s="59">
        <v>60</v>
      </c>
      <c r="Y105" s="59">
        <v>60</v>
      </c>
      <c r="Z105" s="59">
        <v>60</v>
      </c>
      <c r="AA105" s="59">
        <v>60</v>
      </c>
      <c r="AB105" s="59">
        <v>60</v>
      </c>
      <c r="AC105" s="59">
        <v>60</v>
      </c>
      <c r="AD105" s="59">
        <v>60</v>
      </c>
      <c r="AE105" s="59">
        <v>60</v>
      </c>
      <c r="AF105" s="59">
        <v>60</v>
      </c>
      <c r="AG105" s="59">
        <v>60</v>
      </c>
      <c r="AH105" s="61">
        <v>60</v>
      </c>
      <c r="AI105" s="140" t="str">
        <f>Riskregister!O105</f>
        <v>Not yet decided</v>
      </c>
      <c r="AJ105" s="8">
        <f>Riskregister!Q105</f>
        <v>0</v>
      </c>
    </row>
    <row r="106" spans="1:36" x14ac:dyDescent="0.3">
      <c r="A106" s="23">
        <f>Riskregister!A106</f>
        <v>101</v>
      </c>
      <c r="B106" s="23" t="str">
        <f>Riskregister!B106</f>
        <v>D</v>
      </c>
      <c r="C106" s="58" t="str">
        <f>Riskregister!C106</f>
        <v>Delivery</v>
      </c>
      <c r="D106" s="72" t="str">
        <f>Riskregister!D106</f>
        <v>Issue on site accessibility due to public complaints.</v>
      </c>
      <c r="E106" s="72" t="str">
        <f>Riskregister!F106</f>
        <v>Work stoppage/delay on project implementation</v>
      </c>
      <c r="F106" s="53">
        <f>Riskregister!T106</f>
        <v>6</v>
      </c>
      <c r="G106" s="53">
        <f>Riskregister!M106</f>
        <v>6</v>
      </c>
      <c r="H106" s="92">
        <f>Riskregister!I106</f>
        <v>16</v>
      </c>
      <c r="I106" s="139">
        <f>[1]Riskprofile!I106</f>
        <v>6</v>
      </c>
      <c r="J106" s="65">
        <v>30</v>
      </c>
      <c r="K106" s="59">
        <v>30</v>
      </c>
      <c r="L106" s="59">
        <v>30</v>
      </c>
      <c r="M106" s="59">
        <v>30</v>
      </c>
      <c r="N106" s="59">
        <v>30</v>
      </c>
      <c r="O106" s="64">
        <v>6</v>
      </c>
      <c r="P106" s="63">
        <v>50</v>
      </c>
      <c r="Q106" s="63">
        <v>50</v>
      </c>
      <c r="R106" s="63">
        <v>50</v>
      </c>
      <c r="S106" s="63">
        <v>50</v>
      </c>
      <c r="T106" s="63">
        <v>50</v>
      </c>
      <c r="U106" s="63">
        <v>50</v>
      </c>
      <c r="V106" s="63">
        <v>50</v>
      </c>
      <c r="W106" s="63">
        <v>50</v>
      </c>
      <c r="X106" s="63">
        <v>50</v>
      </c>
      <c r="Y106" s="99">
        <v>16</v>
      </c>
      <c r="Z106" s="59">
        <v>60</v>
      </c>
      <c r="AA106" s="59">
        <v>60</v>
      </c>
      <c r="AB106" s="59">
        <v>60</v>
      </c>
      <c r="AC106" s="59">
        <v>60</v>
      </c>
      <c r="AD106" s="59">
        <v>60</v>
      </c>
      <c r="AE106" s="59">
        <v>60</v>
      </c>
      <c r="AF106" s="59">
        <v>60</v>
      </c>
      <c r="AG106" s="59">
        <v>60</v>
      </c>
      <c r="AH106" s="61">
        <v>60</v>
      </c>
      <c r="AI106" s="140" t="str">
        <f>Riskregister!O106</f>
        <v>Not yet decided</v>
      </c>
      <c r="AJ106" s="8">
        <f>Riskregister!Q106</f>
        <v>0</v>
      </c>
    </row>
    <row r="107" spans="1:36" ht="43.2" x14ac:dyDescent="0.3">
      <c r="A107" s="23">
        <f>Riskregister!A107</f>
        <v>102</v>
      </c>
      <c r="B107" s="23" t="str">
        <f>Riskregister!B107</f>
        <v>D</v>
      </c>
      <c r="C107" s="58" t="str">
        <f>Riskregister!C107</f>
        <v>Delivery</v>
      </c>
      <c r="D107" s="72" t="str">
        <f>Riskregister!D107</f>
        <v>Traffic congestion brought by the on-going construction of MRT project along Commonwealth Road</v>
      </c>
      <c r="E107" s="72" t="str">
        <f>Riskregister!F107</f>
        <v>Delay on delivery of materilas and equipment and daily deployment of Contractor's personnel. 
Note: No contractor's barracks is allowed inside the LMTP facilities.</v>
      </c>
      <c r="F107" s="53">
        <f>Riskregister!T107</f>
        <v>6</v>
      </c>
      <c r="G107" s="53">
        <f>Riskregister!M107</f>
        <v>6</v>
      </c>
      <c r="H107" s="92">
        <f>Riskregister!I107</f>
        <v>16</v>
      </c>
      <c r="I107" s="139">
        <f>[1]Riskprofile!I107</f>
        <v>6</v>
      </c>
      <c r="J107" s="65">
        <v>30</v>
      </c>
      <c r="K107" s="59">
        <v>30</v>
      </c>
      <c r="L107" s="59">
        <v>30</v>
      </c>
      <c r="M107" s="59">
        <v>30</v>
      </c>
      <c r="N107" s="59">
        <v>30</v>
      </c>
      <c r="O107" s="64">
        <v>6</v>
      </c>
      <c r="P107" s="63">
        <v>50</v>
      </c>
      <c r="Q107" s="63">
        <v>50</v>
      </c>
      <c r="R107" s="63">
        <v>50</v>
      </c>
      <c r="S107" s="63">
        <v>50</v>
      </c>
      <c r="T107" s="63">
        <v>50</v>
      </c>
      <c r="U107" s="63">
        <v>50</v>
      </c>
      <c r="V107" s="63">
        <v>50</v>
      </c>
      <c r="W107" s="63">
        <v>50</v>
      </c>
      <c r="X107" s="63">
        <v>50</v>
      </c>
      <c r="Y107" s="99">
        <v>16</v>
      </c>
      <c r="Z107" s="59">
        <v>60</v>
      </c>
      <c r="AA107" s="59">
        <v>60</v>
      </c>
      <c r="AB107" s="59">
        <v>60</v>
      </c>
      <c r="AC107" s="59">
        <v>60</v>
      </c>
      <c r="AD107" s="59">
        <v>60</v>
      </c>
      <c r="AE107" s="59">
        <v>60</v>
      </c>
      <c r="AF107" s="59">
        <v>60</v>
      </c>
      <c r="AG107" s="59">
        <v>60</v>
      </c>
      <c r="AH107" s="61">
        <v>60</v>
      </c>
      <c r="AI107" s="140" t="str">
        <f>Riskregister!O107</f>
        <v>Not yet decided</v>
      </c>
      <c r="AJ107" s="8">
        <f>Riskregister!Q107</f>
        <v>0</v>
      </c>
    </row>
    <row r="108" spans="1:36" ht="28.8" x14ac:dyDescent="0.3">
      <c r="A108" s="23">
        <f>Riskregister!A108</f>
        <v>103</v>
      </c>
      <c r="B108" s="23" t="str">
        <f>Riskregister!B108</f>
        <v>D</v>
      </c>
      <c r="C108" s="58" t="str">
        <f>Riskregister!C108</f>
        <v>Delivery</v>
      </c>
      <c r="D108" s="72" t="str">
        <f>Riskregister!D108</f>
        <v>Ability to find adequate and liveable space for warehouse, fabrication (on-site) and barracks (offsite) for their workers</v>
      </c>
      <c r="E108" s="72" t="str">
        <f>Riskregister!F108</f>
        <v>Delay on commencement of work.</v>
      </c>
      <c r="F108" s="53">
        <f>Riskregister!T108</f>
        <v>5</v>
      </c>
      <c r="G108" s="53">
        <f>Riskregister!M108</f>
        <v>5</v>
      </c>
      <c r="H108" s="53">
        <f>Riskregister!I108</f>
        <v>5</v>
      </c>
      <c r="I108" s="139">
        <f>[1]Riskprofile!I108</f>
        <v>5</v>
      </c>
      <c r="J108" s="65">
        <v>30</v>
      </c>
      <c r="K108" s="59">
        <v>30</v>
      </c>
      <c r="L108" s="59">
        <v>30</v>
      </c>
      <c r="M108" s="59">
        <v>30</v>
      </c>
      <c r="N108" s="64">
        <v>5</v>
      </c>
      <c r="O108" s="59">
        <v>60</v>
      </c>
      <c r="P108" s="59">
        <v>60</v>
      </c>
      <c r="Q108" s="59">
        <v>60</v>
      </c>
      <c r="R108" s="59">
        <v>60</v>
      </c>
      <c r="S108" s="59">
        <v>60</v>
      </c>
      <c r="T108" s="59">
        <v>60</v>
      </c>
      <c r="U108" s="59">
        <v>60</v>
      </c>
      <c r="V108" s="59">
        <v>60</v>
      </c>
      <c r="W108" s="59">
        <v>60</v>
      </c>
      <c r="X108" s="59">
        <v>60</v>
      </c>
      <c r="Y108" s="59">
        <v>60</v>
      </c>
      <c r="Z108" s="59">
        <v>60</v>
      </c>
      <c r="AA108" s="59">
        <v>60</v>
      </c>
      <c r="AB108" s="59">
        <v>60</v>
      </c>
      <c r="AC108" s="59">
        <v>60</v>
      </c>
      <c r="AD108" s="59">
        <v>60</v>
      </c>
      <c r="AE108" s="59">
        <v>60</v>
      </c>
      <c r="AF108" s="59">
        <v>60</v>
      </c>
      <c r="AG108" s="59">
        <v>60</v>
      </c>
      <c r="AH108" s="61">
        <v>60</v>
      </c>
      <c r="AI108" s="140" t="str">
        <f>Riskregister!O108</f>
        <v>Nam/Robin/Edgar</v>
      </c>
      <c r="AJ108" s="8" t="str">
        <f>Riskregister!Q108</f>
        <v>Ongoing</v>
      </c>
    </row>
    <row r="109" spans="1:36" ht="28.8" x14ac:dyDescent="0.3">
      <c r="A109" s="23">
        <f>Riskregister!A109</f>
        <v>104</v>
      </c>
      <c r="B109" s="23" t="str">
        <f>Riskregister!B109</f>
        <v>D</v>
      </c>
      <c r="C109" s="58" t="str">
        <f>Riskregister!C109</f>
        <v>Delivery</v>
      </c>
      <c r="D109" s="72" t="str">
        <f>Riskregister!D109</f>
        <v>Unavailability of dedicated key personnel for the project</v>
      </c>
      <c r="E109" s="72" t="str">
        <f>Riskregister!F109</f>
        <v>Serious conflict and misunderstanding and eventually result in delay and major conflict</v>
      </c>
      <c r="F109" s="89">
        <f>Riskregister!T109</f>
        <v>11</v>
      </c>
      <c r="G109" s="89">
        <f>Riskregister!M109</f>
        <v>11</v>
      </c>
      <c r="H109" s="89">
        <f>Riskregister!I109</f>
        <v>11</v>
      </c>
      <c r="I109" s="139">
        <f>[1]Riskprofile!I109</f>
        <v>11</v>
      </c>
      <c r="J109" s="65">
        <v>30</v>
      </c>
      <c r="K109" s="59">
        <v>30</v>
      </c>
      <c r="L109" s="59">
        <v>30</v>
      </c>
      <c r="M109" s="59">
        <v>30</v>
      </c>
      <c r="N109" s="59">
        <v>30</v>
      </c>
      <c r="O109" s="59">
        <v>30</v>
      </c>
      <c r="P109" s="59">
        <v>30</v>
      </c>
      <c r="Q109" s="59">
        <v>30</v>
      </c>
      <c r="R109" s="59">
        <v>30</v>
      </c>
      <c r="S109" s="59">
        <v>30</v>
      </c>
      <c r="T109" s="97">
        <v>11</v>
      </c>
      <c r="U109" s="59">
        <v>60</v>
      </c>
      <c r="V109" s="59">
        <v>60</v>
      </c>
      <c r="W109" s="59">
        <v>60</v>
      </c>
      <c r="X109" s="59">
        <v>60</v>
      </c>
      <c r="Y109" s="59">
        <v>60</v>
      </c>
      <c r="Z109" s="59">
        <v>60</v>
      </c>
      <c r="AA109" s="59">
        <v>60</v>
      </c>
      <c r="AB109" s="59">
        <v>60</v>
      </c>
      <c r="AC109" s="59">
        <v>60</v>
      </c>
      <c r="AD109" s="59">
        <v>60</v>
      </c>
      <c r="AE109" s="59">
        <v>60</v>
      </c>
      <c r="AF109" s="59">
        <v>60</v>
      </c>
      <c r="AG109" s="59">
        <v>60</v>
      </c>
      <c r="AH109" s="61">
        <v>60</v>
      </c>
      <c r="AI109" s="140" t="str">
        <f>Riskregister!O109</f>
        <v>Not yet decided</v>
      </c>
      <c r="AJ109" s="8">
        <f>Riskregister!Q109</f>
        <v>0</v>
      </c>
    </row>
    <row r="110" spans="1:36" x14ac:dyDescent="0.3">
      <c r="A110" s="23">
        <f>Riskregister!A110</f>
        <v>105</v>
      </c>
      <c r="B110" s="23" t="str">
        <f>Riskregister!B110</f>
        <v>D</v>
      </c>
      <c r="C110" s="58" t="str">
        <f>Riskregister!C110</f>
        <v>Delivery</v>
      </c>
      <c r="D110" s="72" t="str">
        <f>Riskregister!D110</f>
        <v>Port congestion issue</v>
      </c>
      <c r="E110" s="72" t="str">
        <f>Riskregister!F110</f>
        <v>Delay on delivery of materilas and equipment.</v>
      </c>
      <c r="F110" s="53">
        <f>Riskregister!T110</f>
        <v>5</v>
      </c>
      <c r="G110" s="53">
        <f>Riskregister!M110</f>
        <v>5</v>
      </c>
      <c r="H110" s="89">
        <f>Riskregister!I110</f>
        <v>12</v>
      </c>
      <c r="I110" s="139">
        <f>[1]Riskprofile!I110</f>
        <v>5</v>
      </c>
      <c r="J110" s="65">
        <v>30</v>
      </c>
      <c r="K110" s="59">
        <v>30</v>
      </c>
      <c r="L110" s="59">
        <v>30</v>
      </c>
      <c r="M110" s="59">
        <v>30</v>
      </c>
      <c r="N110" s="64">
        <v>5</v>
      </c>
      <c r="O110" s="63">
        <v>50</v>
      </c>
      <c r="P110" s="63">
        <v>50</v>
      </c>
      <c r="Q110" s="63">
        <v>50</v>
      </c>
      <c r="R110" s="63">
        <v>50</v>
      </c>
      <c r="S110" s="63">
        <v>50</v>
      </c>
      <c r="T110" s="63">
        <v>50</v>
      </c>
      <c r="U110" s="97">
        <v>12</v>
      </c>
      <c r="V110" s="59">
        <v>60</v>
      </c>
      <c r="W110" s="59">
        <v>60</v>
      </c>
      <c r="X110" s="59">
        <v>60</v>
      </c>
      <c r="Y110" s="59">
        <v>60</v>
      </c>
      <c r="Z110" s="59">
        <v>60</v>
      </c>
      <c r="AA110" s="59">
        <v>60</v>
      </c>
      <c r="AB110" s="59">
        <v>60</v>
      </c>
      <c r="AC110" s="59">
        <v>60</v>
      </c>
      <c r="AD110" s="59">
        <v>60</v>
      </c>
      <c r="AE110" s="59">
        <v>60</v>
      </c>
      <c r="AF110" s="59">
        <v>60</v>
      </c>
      <c r="AG110" s="59">
        <v>60</v>
      </c>
      <c r="AH110" s="61">
        <v>60</v>
      </c>
      <c r="AI110" s="140" t="str">
        <f>Riskregister!O110</f>
        <v>Not yet decided</v>
      </c>
      <c r="AJ110" s="8">
        <f>Riskregister!Q110</f>
        <v>0</v>
      </c>
    </row>
    <row r="111" spans="1:36" x14ac:dyDescent="0.3">
      <c r="A111" s="23">
        <f>Riskregister!A111</f>
        <v>106</v>
      </c>
      <c r="B111" s="23" t="str">
        <f>Riskregister!B111</f>
        <v>D</v>
      </c>
      <c r="C111" s="58" t="str">
        <f>Riskregister!C111</f>
        <v>Environment</v>
      </c>
      <c r="D111" s="72" t="str">
        <f>Riskregister!D111</f>
        <v xml:space="preserve">Natural disaster necessitates temporary shut-down of site </v>
      </c>
      <c r="E111" s="72" t="str">
        <f>Riskregister!F111</f>
        <v xml:space="preserve">Signficant typhoon event </v>
      </c>
      <c r="F111" s="53">
        <f>Riskregister!T111</f>
        <v>6</v>
      </c>
      <c r="G111" s="53">
        <f>Riskregister!M111</f>
        <v>6</v>
      </c>
      <c r="H111" s="89">
        <f>Riskregister!I111</f>
        <v>12</v>
      </c>
      <c r="I111" s="139">
        <f>[1]Riskprofile!I111</f>
        <v>6</v>
      </c>
      <c r="J111" s="65">
        <v>30</v>
      </c>
      <c r="K111" s="59">
        <v>30</v>
      </c>
      <c r="L111" s="59">
        <v>30</v>
      </c>
      <c r="M111" s="59">
        <v>30</v>
      </c>
      <c r="N111" s="59">
        <v>30</v>
      </c>
      <c r="O111" s="64">
        <v>6</v>
      </c>
      <c r="P111" s="63">
        <v>50</v>
      </c>
      <c r="Q111" s="63">
        <v>50</v>
      </c>
      <c r="R111" s="63">
        <v>50</v>
      </c>
      <c r="S111" s="63">
        <v>50</v>
      </c>
      <c r="T111" s="63">
        <v>50</v>
      </c>
      <c r="U111" s="97">
        <v>12</v>
      </c>
      <c r="V111" s="59">
        <v>60</v>
      </c>
      <c r="W111" s="59">
        <v>60</v>
      </c>
      <c r="X111" s="59">
        <v>60</v>
      </c>
      <c r="Y111" s="59">
        <v>60</v>
      </c>
      <c r="Z111" s="59">
        <v>60</v>
      </c>
      <c r="AA111" s="59">
        <v>60</v>
      </c>
      <c r="AB111" s="59">
        <v>60</v>
      </c>
      <c r="AC111" s="59">
        <v>60</v>
      </c>
      <c r="AD111" s="59">
        <v>60</v>
      </c>
      <c r="AE111" s="59">
        <v>60</v>
      </c>
      <c r="AF111" s="59">
        <v>60</v>
      </c>
      <c r="AG111" s="59">
        <v>60</v>
      </c>
      <c r="AH111" s="61">
        <v>60</v>
      </c>
      <c r="AI111" s="140" t="str">
        <f>Riskregister!O111</f>
        <v>Not yet decided</v>
      </c>
      <c r="AJ111" s="8">
        <f>Riskregister!Q111</f>
        <v>0</v>
      </c>
    </row>
    <row r="112" spans="1:36" x14ac:dyDescent="0.3">
      <c r="A112" s="23">
        <f>Riskregister!A112</f>
        <v>107</v>
      </c>
      <c r="B112" s="23" t="str">
        <f>Riskregister!B112</f>
        <v>D</v>
      </c>
      <c r="C112" s="58" t="str">
        <f>Riskregister!C112</f>
        <v>Environment</v>
      </c>
      <c r="D112" s="72" t="str">
        <f>Riskregister!D112</f>
        <v xml:space="preserve"> Natural disaster necessitates temporary shut-down of site </v>
      </c>
      <c r="E112" s="72" t="str">
        <f>Riskregister!F112</f>
        <v>Significant earthquake event</v>
      </c>
      <c r="F112" s="53">
        <f>Riskregister!T112</f>
        <v>6</v>
      </c>
      <c r="G112" s="53">
        <f>Riskregister!M112</f>
        <v>6</v>
      </c>
      <c r="H112" s="89">
        <f>Riskregister!I112</f>
        <v>12</v>
      </c>
      <c r="I112" s="139">
        <f>[1]Riskprofile!I112</f>
        <v>6</v>
      </c>
      <c r="J112" s="65">
        <v>30</v>
      </c>
      <c r="K112" s="59">
        <v>30</v>
      </c>
      <c r="L112" s="59">
        <v>30</v>
      </c>
      <c r="M112" s="59">
        <v>30</v>
      </c>
      <c r="N112" s="59">
        <v>30</v>
      </c>
      <c r="O112" s="64">
        <v>6</v>
      </c>
      <c r="P112" s="63">
        <v>50</v>
      </c>
      <c r="Q112" s="63">
        <v>50</v>
      </c>
      <c r="R112" s="63">
        <v>50</v>
      </c>
      <c r="S112" s="63">
        <v>50</v>
      </c>
      <c r="T112" s="63">
        <v>50</v>
      </c>
      <c r="U112" s="97">
        <v>12</v>
      </c>
      <c r="V112" s="59">
        <v>60</v>
      </c>
      <c r="W112" s="59">
        <v>60</v>
      </c>
      <c r="X112" s="59">
        <v>60</v>
      </c>
      <c r="Y112" s="59">
        <v>60</v>
      </c>
      <c r="Z112" s="59">
        <v>60</v>
      </c>
      <c r="AA112" s="59">
        <v>60</v>
      </c>
      <c r="AB112" s="59">
        <v>60</v>
      </c>
      <c r="AC112" s="59">
        <v>60</v>
      </c>
      <c r="AD112" s="59">
        <v>60</v>
      </c>
      <c r="AE112" s="59">
        <v>60</v>
      </c>
      <c r="AF112" s="59">
        <v>60</v>
      </c>
      <c r="AG112" s="59">
        <v>60</v>
      </c>
      <c r="AH112" s="61">
        <v>60</v>
      </c>
      <c r="AI112" s="140" t="str">
        <f>Riskregister!O112</f>
        <v>Not yet decided</v>
      </c>
      <c r="AJ112" s="8">
        <f>Riskregister!Q112</f>
        <v>0</v>
      </c>
    </row>
    <row r="113" spans="1:36" ht="43.2" x14ac:dyDescent="0.3">
      <c r="A113" s="23">
        <f>Riskregister!A113</f>
        <v>108</v>
      </c>
      <c r="B113" s="23" t="str">
        <f>Riskregister!B113</f>
        <v>D</v>
      </c>
      <c r="C113" s="58" t="str">
        <f>Riskregister!C113</f>
        <v>Environment</v>
      </c>
      <c r="D113" s="72" t="str">
        <f>Riskregister!D113</f>
        <v>Contaminants from construction site run-off resulting in environmental pollution and/or water quality issue.</v>
      </c>
      <c r="E113" s="72" t="str">
        <f>Riskregister!F113</f>
        <v>Resulting in - Pollution clean up costs, fines. Additional site management costs for control of hazardous material and site audits. New work chain to rectify the problem</v>
      </c>
      <c r="F113" s="53">
        <f>Riskregister!T113</f>
        <v>6</v>
      </c>
      <c r="G113" s="53">
        <f>Riskregister!M113</f>
        <v>6</v>
      </c>
      <c r="H113" s="89">
        <f>Riskregister!I113</f>
        <v>12</v>
      </c>
      <c r="I113" s="139">
        <f>[1]Riskprofile!I113</f>
        <v>6</v>
      </c>
      <c r="J113" s="65">
        <v>30</v>
      </c>
      <c r="K113" s="59">
        <v>30</v>
      </c>
      <c r="L113" s="59">
        <v>30</v>
      </c>
      <c r="M113" s="59">
        <v>30</v>
      </c>
      <c r="N113" s="59">
        <v>30</v>
      </c>
      <c r="O113" s="64">
        <v>6</v>
      </c>
      <c r="P113" s="63">
        <v>50</v>
      </c>
      <c r="Q113" s="63">
        <v>50</v>
      </c>
      <c r="R113" s="63">
        <v>50</v>
      </c>
      <c r="S113" s="63">
        <v>50</v>
      </c>
      <c r="T113" s="63">
        <v>50</v>
      </c>
      <c r="U113" s="97">
        <v>12</v>
      </c>
      <c r="V113" s="59">
        <v>60</v>
      </c>
      <c r="W113" s="59">
        <v>60</v>
      </c>
      <c r="X113" s="59">
        <v>60</v>
      </c>
      <c r="Y113" s="59">
        <v>60</v>
      </c>
      <c r="Z113" s="59">
        <v>60</v>
      </c>
      <c r="AA113" s="59">
        <v>60</v>
      </c>
      <c r="AB113" s="59">
        <v>60</v>
      </c>
      <c r="AC113" s="59">
        <v>60</v>
      </c>
      <c r="AD113" s="59">
        <v>60</v>
      </c>
      <c r="AE113" s="59">
        <v>60</v>
      </c>
      <c r="AF113" s="59">
        <v>60</v>
      </c>
      <c r="AG113" s="59">
        <v>60</v>
      </c>
      <c r="AH113" s="61">
        <v>60</v>
      </c>
      <c r="AI113" s="140" t="str">
        <f>Riskregister!O113</f>
        <v>Not yet decided</v>
      </c>
      <c r="AJ113" s="8">
        <f>Riskregister!Q113</f>
        <v>0</v>
      </c>
    </row>
    <row r="114" spans="1:36" ht="28.8" x14ac:dyDescent="0.3">
      <c r="A114" s="23">
        <f>Riskregister!A114</f>
        <v>109</v>
      </c>
      <c r="B114" s="23" t="str">
        <f>Riskregister!B114</f>
        <v>D</v>
      </c>
      <c r="C114" s="58" t="str">
        <f>Riskregister!C114</f>
        <v>Environment</v>
      </c>
      <c r="D114" s="72" t="str">
        <f>Riskregister!D114</f>
        <v>DENR, others impose unforeseen regulations or conditions</v>
      </c>
      <c r="E114" s="72" t="str">
        <f>Riskregister!F114</f>
        <v>Resulting in - Changes in water balance and/ or business model to achieve viable solutions.</v>
      </c>
      <c r="F114" s="53">
        <f>Riskregister!T114</f>
        <v>5</v>
      </c>
      <c r="G114" s="53">
        <f>Riskregister!M114</f>
        <v>5</v>
      </c>
      <c r="H114" s="89">
        <f>Riskregister!I114</f>
        <v>12</v>
      </c>
      <c r="I114" s="139">
        <f>[1]Riskprofile!I114</f>
        <v>5</v>
      </c>
      <c r="J114" s="65">
        <v>30</v>
      </c>
      <c r="K114" s="59">
        <v>30</v>
      </c>
      <c r="L114" s="59">
        <v>30</v>
      </c>
      <c r="M114" s="59">
        <v>30</v>
      </c>
      <c r="N114" s="64">
        <v>5</v>
      </c>
      <c r="O114" s="63">
        <v>50</v>
      </c>
      <c r="P114" s="63">
        <v>50</v>
      </c>
      <c r="Q114" s="63">
        <v>50</v>
      </c>
      <c r="R114" s="63">
        <v>50</v>
      </c>
      <c r="S114" s="63">
        <v>50</v>
      </c>
      <c r="T114" s="63">
        <v>50</v>
      </c>
      <c r="U114" s="97">
        <v>12</v>
      </c>
      <c r="V114" s="59">
        <v>60</v>
      </c>
      <c r="W114" s="59">
        <v>60</v>
      </c>
      <c r="X114" s="59">
        <v>60</v>
      </c>
      <c r="Y114" s="59">
        <v>60</v>
      </c>
      <c r="Z114" s="59">
        <v>60</v>
      </c>
      <c r="AA114" s="59">
        <v>60</v>
      </c>
      <c r="AB114" s="59">
        <v>60</v>
      </c>
      <c r="AC114" s="59">
        <v>60</v>
      </c>
      <c r="AD114" s="59">
        <v>60</v>
      </c>
      <c r="AE114" s="59">
        <v>60</v>
      </c>
      <c r="AF114" s="59">
        <v>60</v>
      </c>
      <c r="AG114" s="59">
        <v>60</v>
      </c>
      <c r="AH114" s="61">
        <v>60</v>
      </c>
      <c r="AI114" s="140" t="str">
        <f>Riskregister!O114</f>
        <v>Not yet decided</v>
      </c>
      <c r="AJ114" s="8">
        <f>Riskregister!Q114</f>
        <v>0</v>
      </c>
    </row>
    <row r="115" spans="1:36" x14ac:dyDescent="0.3">
      <c r="A115" s="23">
        <f>Riskregister!A115</f>
        <v>110</v>
      </c>
      <c r="B115" s="23" t="str">
        <f>Riskregister!B115</f>
        <v>D</v>
      </c>
      <c r="C115" s="58" t="str">
        <f>Riskregister!C115</f>
        <v>Environment</v>
      </c>
      <c r="D115" s="72" t="str">
        <f>Riskregister!D115</f>
        <v>Excessive loss of soil or damage to soil quality during construction</v>
      </c>
      <c r="E115" s="72" t="str">
        <f>Riskregister!F115</f>
        <v>Resulting in - new work chain to re-instate soils</v>
      </c>
      <c r="F115" s="53">
        <f>Riskregister!T115</f>
        <v>5</v>
      </c>
      <c r="G115" s="53">
        <f>Riskregister!M115</f>
        <v>5</v>
      </c>
      <c r="H115" s="53">
        <f>Riskregister!I115</f>
        <v>5</v>
      </c>
      <c r="I115" s="139">
        <f>[1]Riskprofile!I115</f>
        <v>5</v>
      </c>
      <c r="J115" s="65">
        <v>30</v>
      </c>
      <c r="K115" s="59">
        <v>30</v>
      </c>
      <c r="L115" s="59">
        <v>30</v>
      </c>
      <c r="M115" s="59">
        <v>30</v>
      </c>
      <c r="N115" s="64">
        <v>5</v>
      </c>
      <c r="O115" s="59">
        <v>60</v>
      </c>
      <c r="P115" s="59">
        <v>60</v>
      </c>
      <c r="Q115" s="59">
        <v>60</v>
      </c>
      <c r="R115" s="59">
        <v>60</v>
      </c>
      <c r="S115" s="59">
        <v>60</v>
      </c>
      <c r="T115" s="59">
        <v>60</v>
      </c>
      <c r="U115" s="59">
        <v>60</v>
      </c>
      <c r="V115" s="59">
        <v>60</v>
      </c>
      <c r="W115" s="59">
        <v>60</v>
      </c>
      <c r="X115" s="59">
        <v>60</v>
      </c>
      <c r="Y115" s="59">
        <v>60</v>
      </c>
      <c r="Z115" s="59">
        <v>60</v>
      </c>
      <c r="AA115" s="59">
        <v>60</v>
      </c>
      <c r="AB115" s="59">
        <v>60</v>
      </c>
      <c r="AC115" s="59">
        <v>60</v>
      </c>
      <c r="AD115" s="59">
        <v>60</v>
      </c>
      <c r="AE115" s="59">
        <v>60</v>
      </c>
      <c r="AF115" s="59">
        <v>60</v>
      </c>
      <c r="AG115" s="59">
        <v>60</v>
      </c>
      <c r="AH115" s="61">
        <v>60</v>
      </c>
      <c r="AI115" s="140" t="str">
        <f>Riskregister!O115</f>
        <v>Not yet decided</v>
      </c>
      <c r="AJ115" s="8">
        <f>Riskregister!Q115</f>
        <v>0</v>
      </c>
    </row>
    <row r="116" spans="1:36" x14ac:dyDescent="0.3">
      <c r="A116" s="23">
        <f>Riskregister!A116</f>
        <v>111</v>
      </c>
      <c r="B116" s="23" t="str">
        <f>Riskregister!B116</f>
        <v>D</v>
      </c>
      <c r="C116" s="58" t="str">
        <f>Riskregister!C116</f>
        <v>Environment</v>
      </c>
      <c r="D116" s="72" t="str">
        <f>Riskregister!D116</f>
        <v>Flood off site causes damage/delay on delivery of equipment</v>
      </c>
      <c r="E116" s="72" t="str">
        <f>Riskregister!F116</f>
        <v>Resulting in - loss and damage to site materials and equipment.</v>
      </c>
      <c r="F116" s="53">
        <f>Riskregister!T116</f>
        <v>6</v>
      </c>
      <c r="G116" s="53">
        <f>Riskregister!M116</f>
        <v>6</v>
      </c>
      <c r="H116" s="53">
        <f>Riskregister!I116</f>
        <v>6</v>
      </c>
      <c r="I116" s="139">
        <f>[1]Riskprofile!I116</f>
        <v>6</v>
      </c>
      <c r="J116" s="65">
        <v>30</v>
      </c>
      <c r="K116" s="59">
        <v>30</v>
      </c>
      <c r="L116" s="59">
        <v>30</v>
      </c>
      <c r="M116" s="59">
        <v>30</v>
      </c>
      <c r="N116" s="59">
        <v>30</v>
      </c>
      <c r="O116" s="64">
        <v>6</v>
      </c>
      <c r="P116" s="59">
        <v>60</v>
      </c>
      <c r="Q116" s="59">
        <v>60</v>
      </c>
      <c r="R116" s="59">
        <v>60</v>
      </c>
      <c r="S116" s="59">
        <v>60</v>
      </c>
      <c r="T116" s="59">
        <v>60</v>
      </c>
      <c r="U116" s="59">
        <v>60</v>
      </c>
      <c r="V116" s="59">
        <v>60</v>
      </c>
      <c r="W116" s="59">
        <v>60</v>
      </c>
      <c r="X116" s="59">
        <v>60</v>
      </c>
      <c r="Y116" s="59">
        <v>60</v>
      </c>
      <c r="Z116" s="59">
        <v>60</v>
      </c>
      <c r="AA116" s="59">
        <v>60</v>
      </c>
      <c r="AB116" s="59">
        <v>60</v>
      </c>
      <c r="AC116" s="59">
        <v>60</v>
      </c>
      <c r="AD116" s="59">
        <v>60</v>
      </c>
      <c r="AE116" s="59">
        <v>60</v>
      </c>
      <c r="AF116" s="59">
        <v>60</v>
      </c>
      <c r="AG116" s="59">
        <v>60</v>
      </c>
      <c r="AH116" s="61">
        <v>60</v>
      </c>
      <c r="AI116" s="140" t="str">
        <f>Riskregister!O116</f>
        <v>Not yet decided</v>
      </c>
      <c r="AJ116" s="8">
        <f>Riskregister!Q116</f>
        <v>0</v>
      </c>
    </row>
    <row r="117" spans="1:36" x14ac:dyDescent="0.3">
      <c r="A117" s="23">
        <f>Riskregister!A117</f>
        <v>112</v>
      </c>
      <c r="B117" s="23" t="str">
        <f>Riskregister!B117</f>
        <v>D</v>
      </c>
      <c r="C117" s="58" t="str">
        <f>Riskregister!C117</f>
        <v>Environment</v>
      </c>
      <c r="D117" s="72" t="str">
        <f>Riskregister!D117</f>
        <v>Heavy rainfall</v>
      </c>
      <c r="E117" s="72" t="str">
        <f>Riskregister!F117</f>
        <v>Resulting in - Changes in the business model required</v>
      </c>
      <c r="F117" s="53">
        <f>Riskregister!T117</f>
        <v>6</v>
      </c>
      <c r="G117" s="53">
        <f>Riskregister!M117</f>
        <v>6</v>
      </c>
      <c r="H117" s="91">
        <f>Riskregister!I117</f>
        <v>9</v>
      </c>
      <c r="I117" s="139">
        <f>[1]Riskprofile!I117</f>
        <v>6</v>
      </c>
      <c r="J117" s="65">
        <v>30</v>
      </c>
      <c r="K117" s="59">
        <v>30</v>
      </c>
      <c r="L117" s="59">
        <v>30</v>
      </c>
      <c r="M117" s="59">
        <v>30</v>
      </c>
      <c r="N117" s="59">
        <v>30</v>
      </c>
      <c r="O117" s="64">
        <v>6</v>
      </c>
      <c r="P117" s="63">
        <v>50</v>
      </c>
      <c r="Q117" s="63">
        <v>50</v>
      </c>
      <c r="R117" s="59">
        <v>9</v>
      </c>
      <c r="S117" s="59">
        <v>60</v>
      </c>
      <c r="T117" s="59">
        <v>60</v>
      </c>
      <c r="U117" s="59">
        <v>60</v>
      </c>
      <c r="V117" s="59">
        <v>60</v>
      </c>
      <c r="W117" s="59">
        <v>60</v>
      </c>
      <c r="X117" s="59">
        <v>60</v>
      </c>
      <c r="Y117" s="59">
        <v>60</v>
      </c>
      <c r="Z117" s="59">
        <v>60</v>
      </c>
      <c r="AA117" s="59">
        <v>60</v>
      </c>
      <c r="AB117" s="59">
        <v>60</v>
      </c>
      <c r="AC117" s="59">
        <v>60</v>
      </c>
      <c r="AD117" s="59">
        <v>60</v>
      </c>
      <c r="AE117" s="59">
        <v>60</v>
      </c>
      <c r="AF117" s="59">
        <v>60</v>
      </c>
      <c r="AG117" s="59">
        <v>60</v>
      </c>
      <c r="AH117" s="61">
        <v>60</v>
      </c>
      <c r="AI117" s="140" t="str">
        <f>Riskregister!O117</f>
        <v>Not yet decided</v>
      </c>
      <c r="AJ117" s="8">
        <f>Riskregister!Q117</f>
        <v>0</v>
      </c>
    </row>
    <row r="118" spans="1:36" ht="28.8" x14ac:dyDescent="0.3">
      <c r="A118" s="23">
        <f>Riskregister!A118</f>
        <v>113</v>
      </c>
      <c r="B118" s="23" t="str">
        <f>Riskregister!B118</f>
        <v>D</v>
      </c>
      <c r="C118" s="58" t="str">
        <f>Riskregister!C118</f>
        <v>Environment</v>
      </c>
      <c r="D118" s="72" t="str">
        <f>Riskregister!D118</f>
        <v xml:space="preserve">Major natural disaster causes significant disruption and repairs during construction or impacts treatment process </v>
      </c>
      <c r="E118" s="72" t="str">
        <f>Riskregister!F118</f>
        <v>Resulting in - major re-work and delays</v>
      </c>
      <c r="F118" s="53">
        <f>Riskregister!T118</f>
        <v>6</v>
      </c>
      <c r="G118" s="53">
        <f>Riskregister!M118</f>
        <v>6</v>
      </c>
      <c r="H118" s="89">
        <f>Riskregister!I118</f>
        <v>12</v>
      </c>
      <c r="I118" s="139">
        <f>[1]Riskprofile!I118</f>
        <v>6</v>
      </c>
      <c r="J118" s="65">
        <v>30</v>
      </c>
      <c r="K118" s="59">
        <v>30</v>
      </c>
      <c r="L118" s="59">
        <v>30</v>
      </c>
      <c r="M118" s="59">
        <v>30</v>
      </c>
      <c r="N118" s="59">
        <v>30</v>
      </c>
      <c r="O118" s="64">
        <v>6</v>
      </c>
      <c r="P118" s="63">
        <v>50</v>
      </c>
      <c r="Q118" s="63">
        <v>50</v>
      </c>
      <c r="R118" s="63">
        <v>50</v>
      </c>
      <c r="S118" s="63">
        <v>50</v>
      </c>
      <c r="T118" s="63">
        <v>50</v>
      </c>
      <c r="U118" s="97">
        <v>12</v>
      </c>
      <c r="V118" s="59">
        <v>60</v>
      </c>
      <c r="W118" s="59">
        <v>60</v>
      </c>
      <c r="X118" s="59">
        <v>60</v>
      </c>
      <c r="Y118" s="59">
        <v>60</v>
      </c>
      <c r="Z118" s="59">
        <v>60</v>
      </c>
      <c r="AA118" s="59">
        <v>60</v>
      </c>
      <c r="AB118" s="59">
        <v>60</v>
      </c>
      <c r="AC118" s="59">
        <v>60</v>
      </c>
      <c r="AD118" s="59">
        <v>60</v>
      </c>
      <c r="AE118" s="59">
        <v>60</v>
      </c>
      <c r="AF118" s="59">
        <v>60</v>
      </c>
      <c r="AG118" s="59">
        <v>60</v>
      </c>
      <c r="AH118" s="61">
        <v>60</v>
      </c>
      <c r="AI118" s="140" t="str">
        <f>Riskregister!O118</f>
        <v>Not yet decided</v>
      </c>
      <c r="AJ118" s="8">
        <f>Riskregister!Q118</f>
        <v>0</v>
      </c>
    </row>
    <row r="119" spans="1:36" ht="28.8" x14ac:dyDescent="0.3">
      <c r="A119" s="23">
        <f>Riskregister!A119</f>
        <v>114</v>
      </c>
      <c r="B119" s="23" t="str">
        <f>Riskregister!B119</f>
        <v>D</v>
      </c>
      <c r="C119" s="58" t="str">
        <f>Riskregister!C119</f>
        <v>Environment</v>
      </c>
      <c r="D119" s="72" t="str">
        <f>Riskregister!D119</f>
        <v>Major wet weather event causes delay in the implementation of the project</v>
      </c>
      <c r="E119" s="72" t="str">
        <f>Riskregister!F119</f>
        <v>Significant delay and cost increase</v>
      </c>
      <c r="F119" s="53">
        <f>Riskregister!T119</f>
        <v>6</v>
      </c>
      <c r="G119" s="92">
        <f>Riskregister!M119</f>
        <v>16</v>
      </c>
      <c r="H119" s="88">
        <f>Riskregister!I119</f>
        <v>22</v>
      </c>
      <c r="I119" s="139">
        <f>[1]Riskprofile!I119</f>
        <v>16</v>
      </c>
      <c r="J119" s="65">
        <v>30</v>
      </c>
      <c r="K119" s="59">
        <v>30</v>
      </c>
      <c r="L119" s="59">
        <v>30</v>
      </c>
      <c r="M119" s="59">
        <v>30</v>
      </c>
      <c r="N119" s="59">
        <v>30</v>
      </c>
      <c r="O119" s="64">
        <v>6</v>
      </c>
      <c r="P119" s="62">
        <v>40</v>
      </c>
      <c r="Q119" s="62">
        <v>40</v>
      </c>
      <c r="R119" s="62">
        <v>40</v>
      </c>
      <c r="S119" s="62">
        <v>40</v>
      </c>
      <c r="T119" s="62">
        <v>40</v>
      </c>
      <c r="U119" s="62">
        <v>40</v>
      </c>
      <c r="V119" s="62">
        <v>40</v>
      </c>
      <c r="W119" s="62">
        <v>40</v>
      </c>
      <c r="X119" s="62">
        <v>40</v>
      </c>
      <c r="Y119" s="99">
        <v>16</v>
      </c>
      <c r="Z119" s="63">
        <v>50</v>
      </c>
      <c r="AA119" s="63">
        <v>50</v>
      </c>
      <c r="AB119" s="63">
        <v>50</v>
      </c>
      <c r="AC119" s="63">
        <v>50</v>
      </c>
      <c r="AD119" s="63">
        <v>50</v>
      </c>
      <c r="AE119" s="98">
        <v>22</v>
      </c>
      <c r="AF119" s="59">
        <v>60</v>
      </c>
      <c r="AG119" s="59">
        <v>60</v>
      </c>
      <c r="AH119" s="61">
        <v>60</v>
      </c>
      <c r="AI119" s="140" t="str">
        <f>Riskregister!O119</f>
        <v>Not yet decided</v>
      </c>
      <c r="AJ119" s="8">
        <f>Riskregister!Q119</f>
        <v>0</v>
      </c>
    </row>
    <row r="120" spans="1:36" x14ac:dyDescent="0.3">
      <c r="A120" s="23">
        <f>Riskregister!A120</f>
        <v>115</v>
      </c>
      <c r="B120" s="23" t="str">
        <f>Riskregister!B120</f>
        <v>D</v>
      </c>
      <c r="C120" s="58" t="str">
        <f>Riskregister!C120</f>
        <v>Environment</v>
      </c>
      <c r="D120" s="72" t="str">
        <f>Riskregister!D120</f>
        <v>Pipe routes disturbing high biodiversity flora and fauna areas</v>
      </c>
      <c r="E120" s="72" t="str">
        <f>Riskregister!F120</f>
        <v>Resulting in - New work chain to quantify impacts and seek solutions.</v>
      </c>
      <c r="F120" s="53">
        <f>Riskregister!T120</f>
        <v>6</v>
      </c>
      <c r="G120" s="53">
        <f>Riskregister!M120</f>
        <v>6</v>
      </c>
      <c r="H120" s="53">
        <f>Riskregister!I120</f>
        <v>6</v>
      </c>
      <c r="I120" s="139">
        <f>[1]Riskprofile!I120</f>
        <v>6</v>
      </c>
      <c r="J120" s="65">
        <v>30</v>
      </c>
      <c r="K120" s="59">
        <v>30</v>
      </c>
      <c r="L120" s="59">
        <v>30</v>
      </c>
      <c r="M120" s="59">
        <v>30</v>
      </c>
      <c r="N120" s="59">
        <v>30</v>
      </c>
      <c r="O120" s="64">
        <v>6</v>
      </c>
      <c r="P120" s="59">
        <v>60</v>
      </c>
      <c r="Q120" s="59">
        <v>60</v>
      </c>
      <c r="R120" s="59">
        <v>60</v>
      </c>
      <c r="S120" s="59">
        <v>60</v>
      </c>
      <c r="T120" s="59">
        <v>60</v>
      </c>
      <c r="U120" s="59">
        <v>60</v>
      </c>
      <c r="V120" s="59">
        <v>60</v>
      </c>
      <c r="W120" s="59">
        <v>60</v>
      </c>
      <c r="X120" s="59">
        <v>60</v>
      </c>
      <c r="Y120" s="59">
        <v>60</v>
      </c>
      <c r="Z120" s="59">
        <v>60</v>
      </c>
      <c r="AA120" s="59">
        <v>60</v>
      </c>
      <c r="AB120" s="59">
        <v>60</v>
      </c>
      <c r="AC120" s="59">
        <v>60</v>
      </c>
      <c r="AD120" s="59">
        <v>60</v>
      </c>
      <c r="AE120" s="59">
        <v>60</v>
      </c>
      <c r="AF120" s="59">
        <v>60</v>
      </c>
      <c r="AG120" s="59">
        <v>60</v>
      </c>
      <c r="AH120" s="61">
        <v>60</v>
      </c>
      <c r="AI120" s="140" t="str">
        <f>Riskregister!O120</f>
        <v>Not yet decided</v>
      </c>
      <c r="AJ120" s="8">
        <f>Riskregister!Q120</f>
        <v>0</v>
      </c>
    </row>
    <row r="121" spans="1:36" ht="28.8" x14ac:dyDescent="0.3">
      <c r="A121" s="23">
        <f>Riskregister!A121</f>
        <v>116</v>
      </c>
      <c r="B121" s="23" t="str">
        <f>Riskregister!B121</f>
        <v>D</v>
      </c>
      <c r="C121" s="58" t="str">
        <f>Riskregister!C121</f>
        <v>Environment</v>
      </c>
      <c r="D121" s="72" t="str">
        <f>Riskregister!D121</f>
        <v>Delay in possible requirement of acquisition of tree-cutting permit</v>
      </c>
      <c r="E121" s="72" t="str">
        <f>Riskregister!F121</f>
        <v>Delay in the schedule of work package item that having to do with tree cutting (e.g. new sludge piping line)</v>
      </c>
      <c r="F121" s="53">
        <f>Riskregister!T121</f>
        <v>5</v>
      </c>
      <c r="G121" s="53">
        <f>Riskregister!M121</f>
        <v>5</v>
      </c>
      <c r="H121" s="89">
        <f>Riskregister!I121</f>
        <v>12</v>
      </c>
      <c r="I121" s="139">
        <f>[1]Riskprofile!I121</f>
        <v>5</v>
      </c>
      <c r="J121" s="65">
        <v>30</v>
      </c>
      <c r="K121" s="59">
        <v>30</v>
      </c>
      <c r="L121" s="59">
        <v>30</v>
      </c>
      <c r="M121" s="59">
        <v>30</v>
      </c>
      <c r="N121" s="64">
        <v>5</v>
      </c>
      <c r="O121" s="63">
        <v>50</v>
      </c>
      <c r="P121" s="63">
        <v>50</v>
      </c>
      <c r="Q121" s="63">
        <v>50</v>
      </c>
      <c r="R121" s="63">
        <v>50</v>
      </c>
      <c r="S121" s="63">
        <v>50</v>
      </c>
      <c r="T121" s="63">
        <v>50</v>
      </c>
      <c r="U121" s="97">
        <v>12</v>
      </c>
      <c r="V121" s="59">
        <v>60</v>
      </c>
      <c r="W121" s="59">
        <v>60</v>
      </c>
      <c r="X121" s="59">
        <v>60</v>
      </c>
      <c r="Y121" s="59">
        <v>60</v>
      </c>
      <c r="Z121" s="59">
        <v>60</v>
      </c>
      <c r="AA121" s="59">
        <v>60</v>
      </c>
      <c r="AB121" s="59">
        <v>60</v>
      </c>
      <c r="AC121" s="59">
        <v>60</v>
      </c>
      <c r="AD121" s="59">
        <v>60</v>
      </c>
      <c r="AE121" s="59">
        <v>60</v>
      </c>
      <c r="AF121" s="59">
        <v>60</v>
      </c>
      <c r="AG121" s="59">
        <v>60</v>
      </c>
      <c r="AH121" s="61">
        <v>60</v>
      </c>
      <c r="AI121" s="140" t="str">
        <f>Riskregister!O121</f>
        <v>Not yet decided</v>
      </c>
      <c r="AJ121" s="8">
        <f>Riskregister!Q121</f>
        <v>0</v>
      </c>
    </row>
    <row r="122" spans="1:36" ht="28.8" x14ac:dyDescent="0.3">
      <c r="A122" s="23">
        <f>Riskregister!A122</f>
        <v>117</v>
      </c>
      <c r="B122" s="23" t="str">
        <f>Riskregister!B122</f>
        <v>D</v>
      </c>
      <c r="C122" s="58" t="str">
        <f>Riskregister!C122</f>
        <v>Environment</v>
      </c>
      <c r="D122" s="72" t="str">
        <f>Riskregister!D122</f>
        <v>Unidentified existing underground utilities</v>
      </c>
      <c r="E122" s="72" t="str">
        <f>Riskregister!F122</f>
        <v>Negative impact on earthwork and alighment of design/construction. Maynilad might need to pay compensation</v>
      </c>
      <c r="F122" s="53">
        <f>Riskregister!T122</f>
        <v>6</v>
      </c>
      <c r="G122" s="53">
        <f>Riskregister!M122</f>
        <v>6</v>
      </c>
      <c r="H122" s="92">
        <f>Riskregister!I122</f>
        <v>16</v>
      </c>
      <c r="I122" s="139">
        <f>[1]Riskprofile!I122</f>
        <v>6</v>
      </c>
      <c r="J122" s="66">
        <v>30</v>
      </c>
      <c r="K122" s="67">
        <v>30</v>
      </c>
      <c r="L122" s="67">
        <v>30</v>
      </c>
      <c r="M122" s="67">
        <v>30</v>
      </c>
      <c r="N122" s="67">
        <v>30</v>
      </c>
      <c r="O122" s="68">
        <v>6</v>
      </c>
      <c r="P122" s="126">
        <v>50</v>
      </c>
      <c r="Q122" s="126">
        <v>50</v>
      </c>
      <c r="R122" s="126">
        <v>50</v>
      </c>
      <c r="S122" s="126">
        <v>50</v>
      </c>
      <c r="T122" s="126">
        <v>50</v>
      </c>
      <c r="U122" s="126">
        <v>50</v>
      </c>
      <c r="V122" s="126">
        <v>50</v>
      </c>
      <c r="W122" s="126">
        <v>50</v>
      </c>
      <c r="X122" s="126">
        <v>50</v>
      </c>
      <c r="Y122" s="138">
        <v>16</v>
      </c>
      <c r="Z122" s="67">
        <v>60</v>
      </c>
      <c r="AA122" s="67">
        <v>60</v>
      </c>
      <c r="AB122" s="67">
        <v>60</v>
      </c>
      <c r="AC122" s="67">
        <v>60</v>
      </c>
      <c r="AD122" s="67">
        <v>60</v>
      </c>
      <c r="AE122" s="67">
        <v>60</v>
      </c>
      <c r="AF122" s="67">
        <v>60</v>
      </c>
      <c r="AG122" s="67">
        <v>60</v>
      </c>
      <c r="AH122" s="69">
        <v>60</v>
      </c>
      <c r="AI122" s="140" t="str">
        <f>Riskregister!O122</f>
        <v>Robin</v>
      </c>
      <c r="AJ122" s="8" t="str">
        <f>Riskregister!Q122</f>
        <v>Ongoing</v>
      </c>
    </row>
  </sheetData>
  <sortState ref="A6:AI60">
    <sortCondition descending="1" ref="G6:G60"/>
  </sortState>
  <conditionalFormatting sqref="AJ6:AJ122">
    <cfRule type="containsText" dxfId="0" priority="1" operator="containsText" text="Ongoing">
      <formula>NOT(ISERROR(SEARCH("Ongoing",AJ6)))</formula>
    </cfRule>
  </conditionalFormatting>
  <printOptions horizontalCentered="1"/>
  <pageMargins left="0.70866141732283472" right="0.70866141732283472" top="1.3385826771653544" bottom="0.74803149606299213" header="0.31496062992125984" footer="0.31496062992125984"/>
  <pageSetup paperSize="8" scale="57" fitToHeight="0" orientation="landscape" horizontalDpi="4294967292" r:id="rId1"/>
  <headerFooter>
    <oddHeader>&amp;RWWW.POMPLUS.VN&amp;LEXAMPLE PROJECT (Water Treatment Plant Construction)</oddHeader>
    <oddFooter>&amp;RCreated by Nam Lethanh (namlt@protonmail.com)&amp;CAll right reserved @2017 POMPLUS Consulting Ltd.</oddFooter>
  </headerFooter>
  <drawing r:id="rId2"/>
  <legacyDrawing r:id="rId3"/>
  <controls>
    <mc:AlternateContent xmlns:mc="http://schemas.openxmlformats.org/markup-compatibility/2006">
      <mc:Choice Requires="x14">
        <control shapeId="4097" r:id="rId4" name="Image1">
          <controlPr defaultSize="0" autoLine="0" r:id="rId5">
            <anchor moveWithCells="1">
              <from>
                <xdr:col>4</xdr:col>
                <xdr:colOff>2362200</xdr:colOff>
                <xdr:row>9</xdr:row>
                <xdr:rowOff>198120</xdr:rowOff>
              </from>
              <to>
                <xdr:col>11</xdr:col>
                <xdr:colOff>60960</xdr:colOff>
                <xdr:row>14</xdr:row>
                <xdr:rowOff>327660</xdr:rowOff>
              </to>
            </anchor>
          </controlPr>
        </control>
      </mc:Choice>
      <mc:Fallback>
        <control shapeId="4097" r:id="rId4" name="Image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B122"/>
  <sheetViews>
    <sheetView view="pageBreakPreview" zoomScale="25" zoomScaleNormal="40" zoomScaleSheetLayoutView="25" workbookViewId="0">
      <pane ySplit="648" activePane="bottomLeft"/>
      <selection activeCell="Q87" sqref="Q87"/>
      <selection pane="bottomLeft" activeCell="J16" sqref="J16"/>
    </sheetView>
  </sheetViews>
  <sheetFormatPr defaultColWidth="9.109375" defaultRowHeight="21" x14ac:dyDescent="0.3"/>
  <cols>
    <col min="1" max="2" width="9.109375" style="103"/>
    <col min="3" max="3" width="30.109375" style="103" customWidth="1"/>
    <col min="4" max="4" width="118.88671875" style="104" customWidth="1"/>
    <col min="5" max="5" width="66.33203125" style="104" customWidth="1"/>
    <col min="6" max="6" width="66.6640625" style="104" customWidth="1"/>
    <col min="7" max="9" width="9.109375" style="103"/>
    <col min="10" max="10" width="78.5546875" style="104" customWidth="1"/>
    <col min="11" max="13" width="9.109375" style="103"/>
    <col min="14" max="14" width="64.44140625" style="104" customWidth="1"/>
    <col min="15" max="15" width="30.109375" style="103" customWidth="1"/>
    <col min="16" max="16" width="24.44140625" style="103" customWidth="1"/>
    <col min="17" max="17" width="29.44140625" style="103" bestFit="1" customWidth="1"/>
    <col min="18" max="20" width="9.109375" style="103"/>
    <col min="21" max="54" width="9.109375" style="105"/>
    <col min="55" max="16384" width="9.109375" style="103"/>
  </cols>
  <sheetData>
    <row r="1" spans="1:54" x14ac:dyDescent="0.3">
      <c r="A1" s="145" t="s">
        <v>432</v>
      </c>
      <c r="Q1" s="146"/>
    </row>
    <row r="4" spans="1:54" s="110" customFormat="1" x14ac:dyDescent="0.3">
      <c r="A4" s="106" t="s">
        <v>26</v>
      </c>
      <c r="B4" s="106" t="s">
        <v>27</v>
      </c>
      <c r="C4" s="106" t="s">
        <v>28</v>
      </c>
      <c r="D4" s="107" t="s">
        <v>29</v>
      </c>
      <c r="E4" s="107" t="s">
        <v>30</v>
      </c>
      <c r="F4" s="107" t="s">
        <v>31</v>
      </c>
      <c r="G4" s="108" t="s">
        <v>32</v>
      </c>
      <c r="H4" s="108"/>
      <c r="I4" s="108"/>
      <c r="J4" s="107" t="s">
        <v>35</v>
      </c>
      <c r="K4" s="108" t="s">
        <v>36</v>
      </c>
      <c r="L4" s="108"/>
      <c r="M4" s="108"/>
      <c r="N4" s="107" t="s">
        <v>37</v>
      </c>
      <c r="O4" s="106" t="s">
        <v>39</v>
      </c>
      <c r="P4" s="106" t="s">
        <v>64</v>
      </c>
      <c r="Q4" s="106" t="s">
        <v>40</v>
      </c>
      <c r="R4" s="108" t="s">
        <v>38</v>
      </c>
      <c r="S4" s="108"/>
      <c r="T4" s="108"/>
      <c r="U4" s="109"/>
      <c r="V4" s="109"/>
      <c r="W4" s="109"/>
      <c r="X4" s="109"/>
      <c r="Y4" s="109"/>
      <c r="Z4" s="109"/>
      <c r="AA4" s="109"/>
      <c r="AB4" s="109"/>
      <c r="AC4" s="109"/>
      <c r="AD4" s="109"/>
      <c r="AE4" s="109"/>
      <c r="AF4" s="109"/>
      <c r="AG4" s="109"/>
      <c r="AH4" s="109"/>
      <c r="AI4" s="109"/>
      <c r="AJ4" s="109"/>
      <c r="AK4" s="109"/>
      <c r="AL4" s="109"/>
      <c r="AM4" s="109"/>
      <c r="AN4" s="109"/>
      <c r="AO4" s="109"/>
      <c r="AP4" s="109"/>
      <c r="AQ4" s="109"/>
      <c r="AR4" s="109"/>
      <c r="AS4" s="109"/>
      <c r="AT4" s="109"/>
      <c r="AU4" s="109"/>
      <c r="AV4" s="109"/>
      <c r="AW4" s="109"/>
      <c r="AX4" s="109"/>
      <c r="AY4" s="109"/>
      <c r="AZ4" s="109"/>
      <c r="BA4" s="109"/>
      <c r="BB4" s="109"/>
    </row>
    <row r="5" spans="1:54" s="110" customFormat="1" x14ac:dyDescent="0.3">
      <c r="A5" s="111"/>
      <c r="B5" s="111"/>
      <c r="C5" s="111"/>
      <c r="D5" s="112"/>
      <c r="E5" s="112"/>
      <c r="F5" s="112"/>
      <c r="G5" s="108" t="s">
        <v>33</v>
      </c>
      <c r="H5" s="108" t="s">
        <v>34</v>
      </c>
      <c r="I5" s="108" t="s">
        <v>69</v>
      </c>
      <c r="J5" s="112"/>
      <c r="K5" s="108" t="s">
        <v>33</v>
      </c>
      <c r="L5" s="108" t="s">
        <v>34</v>
      </c>
      <c r="M5" s="108" t="s">
        <v>69</v>
      </c>
      <c r="N5" s="112"/>
      <c r="O5" s="111"/>
      <c r="P5" s="111" t="s">
        <v>68</v>
      </c>
      <c r="Q5" s="111"/>
      <c r="R5" s="108" t="s">
        <v>33</v>
      </c>
      <c r="S5" s="108" t="s">
        <v>34</v>
      </c>
      <c r="T5" s="108" t="s">
        <v>69</v>
      </c>
      <c r="U5" s="109"/>
      <c r="V5" s="109"/>
      <c r="W5" s="109"/>
      <c r="X5" s="109"/>
      <c r="Y5" s="109"/>
      <c r="Z5" s="109"/>
      <c r="AA5" s="109"/>
      <c r="AB5" s="109"/>
      <c r="AC5" s="109"/>
      <c r="AD5" s="109"/>
      <c r="AE5" s="109"/>
      <c r="AF5" s="109"/>
      <c r="AG5" s="109"/>
      <c r="AH5" s="109"/>
      <c r="AI5" s="109"/>
      <c r="AJ5" s="109"/>
      <c r="AK5" s="109"/>
      <c r="AL5" s="109"/>
      <c r="AM5" s="109"/>
      <c r="AN5" s="109"/>
      <c r="AO5" s="109"/>
      <c r="AP5" s="109"/>
      <c r="AQ5" s="109"/>
      <c r="AR5" s="109"/>
      <c r="AS5" s="109"/>
      <c r="AT5" s="109"/>
      <c r="AU5" s="109"/>
      <c r="AV5" s="109"/>
      <c r="AW5" s="109"/>
      <c r="AX5" s="109"/>
      <c r="AY5" s="109"/>
      <c r="AZ5" s="109"/>
      <c r="BA5" s="109"/>
      <c r="BB5" s="109"/>
    </row>
    <row r="6" spans="1:54" s="105" customFormat="1" ht="40.799999999999997" x14ac:dyDescent="0.3">
      <c r="A6" s="74">
        <v>1</v>
      </c>
      <c r="B6" s="74" t="s">
        <v>48</v>
      </c>
      <c r="C6" s="74" t="s">
        <v>47</v>
      </c>
      <c r="D6" s="75" t="s">
        <v>94</v>
      </c>
      <c r="E6" s="113" t="s">
        <v>97</v>
      </c>
      <c r="F6" s="113" t="s">
        <v>95</v>
      </c>
      <c r="G6" s="74">
        <v>5</v>
      </c>
      <c r="H6" s="113">
        <v>5</v>
      </c>
      <c r="I6" s="119">
        <v>25</v>
      </c>
      <c r="J6" s="113" t="s">
        <v>96</v>
      </c>
      <c r="K6" s="74">
        <v>5</v>
      </c>
      <c r="L6" s="74">
        <v>1</v>
      </c>
      <c r="M6" s="118">
        <v>8</v>
      </c>
      <c r="N6" s="113" t="s">
        <v>96</v>
      </c>
      <c r="O6" s="116" t="s">
        <v>439</v>
      </c>
      <c r="P6" s="117"/>
      <c r="Q6" s="117"/>
      <c r="R6" s="74">
        <v>5</v>
      </c>
      <c r="S6" s="74">
        <v>1</v>
      </c>
      <c r="T6" s="118">
        <v>8</v>
      </c>
    </row>
    <row r="7" spans="1:54" ht="40.799999999999997" x14ac:dyDescent="0.3">
      <c r="A7" s="74">
        <v>2</v>
      </c>
      <c r="B7" s="74" t="s">
        <v>48</v>
      </c>
      <c r="C7" s="74" t="s">
        <v>47</v>
      </c>
      <c r="D7" s="113" t="s">
        <v>98</v>
      </c>
      <c r="E7" s="75" t="s">
        <v>433</v>
      </c>
      <c r="F7" s="113" t="s">
        <v>107</v>
      </c>
      <c r="G7" s="74">
        <v>3</v>
      </c>
      <c r="H7" s="113">
        <v>5</v>
      </c>
      <c r="I7" s="119">
        <v>23</v>
      </c>
      <c r="J7" s="113" t="s">
        <v>111</v>
      </c>
      <c r="K7" s="74">
        <v>3</v>
      </c>
      <c r="L7" s="74">
        <v>1</v>
      </c>
      <c r="M7" s="122">
        <v>4</v>
      </c>
      <c r="N7" s="113" t="s">
        <v>111</v>
      </c>
      <c r="O7" s="116" t="s">
        <v>439</v>
      </c>
      <c r="P7" s="117"/>
      <c r="Q7" s="120"/>
      <c r="R7" s="74">
        <v>3</v>
      </c>
      <c r="S7" s="74">
        <v>1</v>
      </c>
      <c r="T7" s="122">
        <v>4</v>
      </c>
      <c r="U7" s="103"/>
      <c r="V7" s="103"/>
      <c r="W7" s="103"/>
      <c r="X7" s="103"/>
      <c r="Y7" s="103"/>
      <c r="Z7" s="103"/>
      <c r="AA7" s="103"/>
      <c r="AB7" s="103"/>
      <c r="AC7" s="103"/>
      <c r="AD7" s="103"/>
      <c r="AE7" s="103"/>
      <c r="AF7" s="103"/>
      <c r="AG7" s="103"/>
      <c r="AH7" s="103"/>
      <c r="AI7" s="103"/>
      <c r="AJ7" s="103"/>
      <c r="AK7" s="103"/>
      <c r="AL7" s="103"/>
      <c r="AM7" s="103"/>
      <c r="AN7" s="103"/>
      <c r="AO7" s="103"/>
      <c r="AP7" s="103"/>
      <c r="AQ7" s="103"/>
      <c r="AR7" s="103"/>
      <c r="AS7" s="103"/>
      <c r="AT7" s="103"/>
      <c r="AU7" s="103"/>
      <c r="AV7" s="103"/>
      <c r="AW7" s="103"/>
      <c r="AX7" s="103"/>
      <c r="AY7" s="103"/>
      <c r="AZ7" s="103"/>
      <c r="BA7" s="103"/>
      <c r="BB7" s="103"/>
    </row>
    <row r="8" spans="1:54" ht="102" x14ac:dyDescent="0.3">
      <c r="A8" s="74">
        <v>3</v>
      </c>
      <c r="B8" s="74" t="s">
        <v>48</v>
      </c>
      <c r="C8" s="74" t="s">
        <v>47</v>
      </c>
      <c r="D8" s="113" t="s">
        <v>99</v>
      </c>
      <c r="E8" s="75" t="s">
        <v>434</v>
      </c>
      <c r="F8" s="113" t="s">
        <v>108</v>
      </c>
      <c r="G8" s="74">
        <v>3</v>
      </c>
      <c r="H8" s="113">
        <v>4</v>
      </c>
      <c r="I8" s="125">
        <v>17</v>
      </c>
      <c r="J8" s="113" t="s">
        <v>112</v>
      </c>
      <c r="K8" s="74">
        <v>3</v>
      </c>
      <c r="L8" s="74">
        <v>4</v>
      </c>
      <c r="M8" s="125">
        <v>17</v>
      </c>
      <c r="N8" s="113" t="s">
        <v>116</v>
      </c>
      <c r="O8" s="116" t="s">
        <v>439</v>
      </c>
      <c r="P8" s="120"/>
      <c r="Q8" s="120"/>
      <c r="R8" s="74">
        <v>3</v>
      </c>
      <c r="S8" s="74">
        <v>2</v>
      </c>
      <c r="T8" s="122">
        <v>6</v>
      </c>
      <c r="U8" s="103"/>
      <c r="V8" s="103"/>
      <c r="W8" s="103"/>
      <c r="X8" s="103"/>
      <c r="Y8" s="103"/>
      <c r="Z8" s="103"/>
      <c r="AA8" s="103"/>
      <c r="AB8" s="103"/>
      <c r="AC8" s="103"/>
      <c r="AD8" s="103"/>
      <c r="AE8" s="103"/>
      <c r="AF8" s="103"/>
      <c r="AG8" s="103"/>
      <c r="AH8" s="103"/>
      <c r="AI8" s="103"/>
      <c r="AJ8" s="103"/>
      <c r="AK8" s="103"/>
      <c r="AL8" s="103"/>
      <c r="AM8" s="103"/>
      <c r="AN8" s="103"/>
      <c r="AO8" s="103"/>
      <c r="AP8" s="103"/>
      <c r="AQ8" s="103"/>
      <c r="AR8" s="103"/>
      <c r="AS8" s="103"/>
      <c r="AT8" s="103"/>
      <c r="AU8" s="103"/>
      <c r="AV8" s="103"/>
      <c r="AW8" s="103"/>
      <c r="AX8" s="103"/>
      <c r="AY8" s="103"/>
      <c r="AZ8" s="103"/>
      <c r="BA8" s="103"/>
      <c r="BB8" s="103"/>
    </row>
    <row r="9" spans="1:54" ht="61.2" x14ac:dyDescent="0.3">
      <c r="A9" s="74">
        <v>4</v>
      </c>
      <c r="B9" s="74" t="s">
        <v>48</v>
      </c>
      <c r="C9" s="74" t="s">
        <v>47</v>
      </c>
      <c r="D9" s="113" t="s">
        <v>100</v>
      </c>
      <c r="E9" s="75" t="s">
        <v>435</v>
      </c>
      <c r="F9" s="113" t="s">
        <v>95</v>
      </c>
      <c r="G9" s="74">
        <v>2</v>
      </c>
      <c r="H9" s="113">
        <v>2</v>
      </c>
      <c r="I9" s="122">
        <v>5</v>
      </c>
      <c r="J9" s="113" t="s">
        <v>112</v>
      </c>
      <c r="K9" s="74">
        <v>2</v>
      </c>
      <c r="L9" s="74">
        <v>2</v>
      </c>
      <c r="M9" s="122">
        <v>5</v>
      </c>
      <c r="N9" s="113" t="s">
        <v>117</v>
      </c>
      <c r="O9" s="117" t="s">
        <v>440</v>
      </c>
      <c r="P9" s="117"/>
      <c r="Q9" s="117"/>
      <c r="R9" s="74">
        <v>1</v>
      </c>
      <c r="S9" s="74">
        <v>2</v>
      </c>
      <c r="T9" s="115">
        <v>3</v>
      </c>
      <c r="U9" s="103"/>
      <c r="V9" s="103"/>
      <c r="W9" s="103"/>
      <c r="X9" s="103"/>
      <c r="Y9" s="103"/>
      <c r="Z9" s="103"/>
      <c r="AA9" s="103"/>
      <c r="AB9" s="103"/>
      <c r="AC9" s="103"/>
      <c r="AD9" s="103"/>
      <c r="AE9" s="103"/>
      <c r="AF9" s="103"/>
      <c r="AG9" s="103"/>
      <c r="AH9" s="103"/>
      <c r="AI9" s="103"/>
      <c r="AJ9" s="103"/>
      <c r="AK9" s="103"/>
      <c r="AL9" s="103"/>
      <c r="AM9" s="103"/>
      <c r="AN9" s="103"/>
      <c r="AO9" s="103"/>
      <c r="AP9" s="103"/>
      <c r="AQ9" s="103"/>
      <c r="AR9" s="103"/>
      <c r="AS9" s="103"/>
      <c r="AT9" s="103"/>
      <c r="AU9" s="103"/>
      <c r="AV9" s="103"/>
      <c r="AW9" s="103"/>
      <c r="AX9" s="103"/>
      <c r="AY9" s="103"/>
      <c r="AZ9" s="103"/>
      <c r="BA9" s="103"/>
      <c r="BB9" s="103"/>
    </row>
    <row r="10" spans="1:54" ht="40.799999999999997" x14ac:dyDescent="0.3">
      <c r="A10" s="74">
        <v>5</v>
      </c>
      <c r="B10" s="74" t="s">
        <v>48</v>
      </c>
      <c r="C10" s="74" t="s">
        <v>47</v>
      </c>
      <c r="D10" s="113" t="s">
        <v>101</v>
      </c>
      <c r="E10" s="75" t="s">
        <v>436</v>
      </c>
      <c r="F10" s="113" t="s">
        <v>109</v>
      </c>
      <c r="G10" s="74">
        <v>5</v>
      </c>
      <c r="H10" s="113">
        <v>4</v>
      </c>
      <c r="I10" s="119">
        <v>22</v>
      </c>
      <c r="J10" s="113" t="s">
        <v>113</v>
      </c>
      <c r="K10" s="74">
        <v>5</v>
      </c>
      <c r="L10" s="74">
        <v>1</v>
      </c>
      <c r="M10" s="118">
        <v>8</v>
      </c>
      <c r="N10" s="113" t="s">
        <v>118</v>
      </c>
      <c r="O10" s="117" t="s">
        <v>440</v>
      </c>
      <c r="P10" s="120"/>
      <c r="Q10" s="120"/>
      <c r="R10" s="74">
        <v>5</v>
      </c>
      <c r="S10" s="74">
        <v>1</v>
      </c>
      <c r="T10" s="118">
        <v>8</v>
      </c>
      <c r="U10" s="103"/>
      <c r="V10" s="103"/>
      <c r="W10" s="103"/>
      <c r="X10" s="103"/>
      <c r="Y10" s="103"/>
      <c r="Z10" s="103"/>
      <c r="AA10" s="103"/>
      <c r="AB10" s="103"/>
      <c r="AC10" s="103"/>
      <c r="AD10" s="103"/>
      <c r="AE10" s="103"/>
      <c r="AF10" s="103"/>
      <c r="AG10" s="103"/>
      <c r="AH10" s="103"/>
      <c r="AI10" s="103"/>
      <c r="AJ10" s="103"/>
      <c r="AK10" s="103"/>
      <c r="AL10" s="103"/>
      <c r="AM10" s="103"/>
      <c r="AN10" s="103"/>
      <c r="AO10" s="103"/>
      <c r="AP10" s="103"/>
      <c r="AQ10" s="103"/>
      <c r="AR10" s="103"/>
      <c r="AS10" s="103"/>
      <c r="AT10" s="103"/>
      <c r="AU10" s="103"/>
      <c r="AV10" s="103"/>
      <c r="AW10" s="103"/>
      <c r="AX10" s="103"/>
      <c r="AY10" s="103"/>
      <c r="AZ10" s="103"/>
      <c r="BA10" s="103"/>
      <c r="BB10" s="103"/>
    </row>
    <row r="11" spans="1:54" ht="61.2" x14ac:dyDescent="0.3">
      <c r="A11" s="74">
        <v>6</v>
      </c>
      <c r="B11" s="74" t="s">
        <v>48</v>
      </c>
      <c r="C11" s="74" t="s">
        <v>47</v>
      </c>
      <c r="D11" s="113" t="s">
        <v>102</v>
      </c>
      <c r="E11" s="75" t="s">
        <v>437</v>
      </c>
      <c r="F11" s="113" t="s">
        <v>110</v>
      </c>
      <c r="G11" s="74">
        <v>4</v>
      </c>
      <c r="H11" s="113">
        <v>1</v>
      </c>
      <c r="I11" s="118">
        <v>7</v>
      </c>
      <c r="J11" s="113" t="s">
        <v>112</v>
      </c>
      <c r="K11" s="74">
        <v>4</v>
      </c>
      <c r="L11" s="74">
        <v>1</v>
      </c>
      <c r="M11" s="118">
        <v>7</v>
      </c>
      <c r="N11" s="113" t="s">
        <v>119</v>
      </c>
      <c r="O11" s="117" t="s">
        <v>441</v>
      </c>
      <c r="P11" s="120"/>
      <c r="Q11" s="120"/>
      <c r="R11" s="74">
        <v>4</v>
      </c>
      <c r="S11" s="74">
        <v>1</v>
      </c>
      <c r="T11" s="118">
        <v>7</v>
      </c>
      <c r="U11" s="103"/>
      <c r="V11" s="103"/>
      <c r="W11" s="103"/>
      <c r="X11" s="103"/>
      <c r="Y11" s="103"/>
      <c r="Z11" s="103"/>
      <c r="AA11" s="103"/>
      <c r="AB11" s="103"/>
      <c r="AC11" s="103"/>
      <c r="AD11" s="103"/>
      <c r="AE11" s="103"/>
      <c r="AF11" s="103"/>
      <c r="AG11" s="103"/>
      <c r="AH11" s="103"/>
      <c r="AI11" s="103"/>
      <c r="AJ11" s="103"/>
      <c r="AK11" s="103"/>
      <c r="AL11" s="103"/>
      <c r="AM11" s="103"/>
      <c r="AN11" s="103"/>
      <c r="AO11" s="103"/>
      <c r="AP11" s="103"/>
      <c r="AQ11" s="103"/>
      <c r="AR11" s="103"/>
      <c r="AS11" s="103"/>
      <c r="AT11" s="103"/>
      <c r="AU11" s="103"/>
      <c r="AV11" s="103"/>
      <c r="AW11" s="103"/>
      <c r="AX11" s="103"/>
      <c r="AY11" s="103"/>
      <c r="AZ11" s="103"/>
      <c r="BA11" s="103"/>
      <c r="BB11" s="103"/>
    </row>
    <row r="12" spans="1:54" ht="61.2" x14ac:dyDescent="0.3">
      <c r="A12" s="74">
        <v>7</v>
      </c>
      <c r="B12" s="74" t="s">
        <v>48</v>
      </c>
      <c r="C12" s="74" t="s">
        <v>47</v>
      </c>
      <c r="D12" s="113" t="s">
        <v>103</v>
      </c>
      <c r="E12" s="75" t="s">
        <v>436</v>
      </c>
      <c r="F12" s="113" t="s">
        <v>95</v>
      </c>
      <c r="G12" s="74">
        <v>5</v>
      </c>
      <c r="H12" s="113">
        <v>4</v>
      </c>
      <c r="I12" s="119">
        <v>22</v>
      </c>
      <c r="J12" s="113" t="s">
        <v>114</v>
      </c>
      <c r="K12" s="74">
        <v>5</v>
      </c>
      <c r="L12" s="74">
        <v>1</v>
      </c>
      <c r="M12" s="118">
        <v>8</v>
      </c>
      <c r="N12" s="113" t="s">
        <v>120</v>
      </c>
      <c r="O12" s="116" t="s">
        <v>440</v>
      </c>
      <c r="P12" s="117"/>
      <c r="Q12" s="117"/>
      <c r="R12" s="74">
        <v>5</v>
      </c>
      <c r="S12" s="74">
        <v>1</v>
      </c>
      <c r="T12" s="118">
        <v>8</v>
      </c>
      <c r="U12" s="103"/>
      <c r="V12" s="103"/>
      <c r="W12" s="103"/>
      <c r="X12" s="103"/>
      <c r="Y12" s="103"/>
      <c r="Z12" s="103"/>
      <c r="AA12" s="103"/>
      <c r="AB12" s="103"/>
      <c r="AC12" s="103"/>
      <c r="AD12" s="103"/>
      <c r="AE12" s="103"/>
      <c r="AF12" s="103"/>
      <c r="AG12" s="103"/>
      <c r="AH12" s="103"/>
      <c r="AI12" s="103"/>
      <c r="AJ12" s="103"/>
      <c r="AK12" s="103"/>
      <c r="AL12" s="103"/>
      <c r="AM12" s="103"/>
      <c r="AN12" s="103"/>
      <c r="AO12" s="103"/>
      <c r="AP12" s="103"/>
      <c r="AQ12" s="103"/>
      <c r="AR12" s="103"/>
      <c r="AS12" s="103"/>
      <c r="AT12" s="103"/>
      <c r="AU12" s="103"/>
      <c r="AV12" s="103"/>
      <c r="AW12" s="103"/>
      <c r="AX12" s="103"/>
      <c r="AY12" s="103"/>
      <c r="AZ12" s="103"/>
      <c r="BA12" s="103"/>
      <c r="BB12" s="103"/>
    </row>
    <row r="13" spans="1:54" ht="102" x14ac:dyDescent="0.3">
      <c r="A13" s="74">
        <v>8</v>
      </c>
      <c r="B13" s="74" t="s">
        <v>48</v>
      </c>
      <c r="C13" s="74" t="s">
        <v>47</v>
      </c>
      <c r="D13" s="113" t="s">
        <v>104</v>
      </c>
      <c r="E13" s="75" t="s">
        <v>438</v>
      </c>
      <c r="F13" s="113" t="s">
        <v>95</v>
      </c>
      <c r="G13" s="74">
        <v>4</v>
      </c>
      <c r="H13" s="113">
        <v>2</v>
      </c>
      <c r="I13" s="118">
        <v>9</v>
      </c>
      <c r="J13" s="113" t="s">
        <v>112</v>
      </c>
      <c r="K13" s="74">
        <v>4</v>
      </c>
      <c r="L13" s="74">
        <v>2</v>
      </c>
      <c r="M13" s="118">
        <v>9</v>
      </c>
      <c r="N13" s="113" t="s">
        <v>121</v>
      </c>
      <c r="O13" s="117" t="s">
        <v>440</v>
      </c>
      <c r="P13" s="117"/>
      <c r="Q13" s="117"/>
      <c r="R13" s="74">
        <v>3</v>
      </c>
      <c r="S13" s="74">
        <v>2</v>
      </c>
      <c r="T13" s="122">
        <v>6</v>
      </c>
      <c r="U13" s="103"/>
      <c r="V13" s="103"/>
      <c r="W13" s="103"/>
      <c r="X13" s="103"/>
      <c r="Y13" s="103"/>
      <c r="Z13" s="103"/>
      <c r="AA13" s="103"/>
      <c r="AB13" s="103"/>
      <c r="AC13" s="103"/>
      <c r="AD13" s="103"/>
      <c r="AE13" s="103"/>
      <c r="AF13" s="103"/>
      <c r="AG13" s="103"/>
      <c r="AH13" s="103"/>
      <c r="AI13" s="103"/>
      <c r="AJ13" s="103"/>
      <c r="AK13" s="103"/>
      <c r="AL13" s="103"/>
      <c r="AM13" s="103"/>
      <c r="AN13" s="103"/>
      <c r="AO13" s="103"/>
      <c r="AP13" s="103"/>
      <c r="AQ13" s="103"/>
      <c r="AR13" s="103"/>
      <c r="AS13" s="103"/>
      <c r="AT13" s="103"/>
      <c r="AU13" s="103"/>
      <c r="AV13" s="103"/>
      <c r="AW13" s="103"/>
      <c r="AX13" s="103"/>
      <c r="AY13" s="103"/>
      <c r="AZ13" s="103"/>
      <c r="BA13" s="103"/>
      <c r="BB13" s="103"/>
    </row>
    <row r="14" spans="1:54" ht="61.2" x14ac:dyDescent="0.3">
      <c r="A14" s="74">
        <v>9</v>
      </c>
      <c r="B14" s="74" t="s">
        <v>48</v>
      </c>
      <c r="C14" s="74" t="s">
        <v>47</v>
      </c>
      <c r="D14" s="113" t="s">
        <v>105</v>
      </c>
      <c r="E14" s="75" t="s">
        <v>443</v>
      </c>
      <c r="F14" s="113" t="s">
        <v>95</v>
      </c>
      <c r="G14" s="74">
        <v>3</v>
      </c>
      <c r="H14" s="113">
        <v>5</v>
      </c>
      <c r="I14" s="119">
        <v>23</v>
      </c>
      <c r="J14" s="113" t="s">
        <v>115</v>
      </c>
      <c r="K14" s="74">
        <v>3</v>
      </c>
      <c r="L14" s="74">
        <v>1</v>
      </c>
      <c r="M14" s="122">
        <v>4</v>
      </c>
      <c r="N14" s="113"/>
      <c r="O14" s="117" t="s">
        <v>442</v>
      </c>
      <c r="P14" s="117"/>
      <c r="Q14" s="117"/>
      <c r="R14" s="74">
        <v>3</v>
      </c>
      <c r="S14" s="74">
        <v>1</v>
      </c>
      <c r="T14" s="122">
        <v>4</v>
      </c>
      <c r="U14" s="103"/>
      <c r="V14" s="103"/>
      <c r="W14" s="103"/>
      <c r="X14" s="103"/>
      <c r="Y14" s="103"/>
      <c r="Z14" s="103"/>
      <c r="AA14" s="103"/>
      <c r="AB14" s="103"/>
      <c r="AC14" s="103"/>
      <c r="AD14" s="103"/>
      <c r="AE14" s="103"/>
      <c r="AF14" s="103"/>
      <c r="AG14" s="103"/>
      <c r="AH14" s="103"/>
      <c r="AI14" s="103"/>
      <c r="AJ14" s="103"/>
      <c r="AK14" s="103"/>
      <c r="AL14" s="103"/>
      <c r="AM14" s="103"/>
      <c r="AN14" s="103"/>
      <c r="AO14" s="103"/>
      <c r="AP14" s="103"/>
      <c r="AQ14" s="103"/>
      <c r="AR14" s="103"/>
      <c r="AS14" s="103"/>
      <c r="AT14" s="103"/>
      <c r="AU14" s="103"/>
      <c r="AV14" s="103"/>
      <c r="AW14" s="103"/>
      <c r="AX14" s="103"/>
      <c r="AY14" s="103"/>
      <c r="AZ14" s="103"/>
      <c r="BA14" s="103"/>
      <c r="BB14" s="103"/>
    </row>
    <row r="15" spans="1:54" ht="81.599999999999994" x14ac:dyDescent="0.3">
      <c r="A15" s="74">
        <v>10</v>
      </c>
      <c r="B15" s="74" t="s">
        <v>48</v>
      </c>
      <c r="C15" s="74" t="s">
        <v>47</v>
      </c>
      <c r="D15" s="113" t="s">
        <v>106</v>
      </c>
      <c r="E15" s="75" t="s">
        <v>444</v>
      </c>
      <c r="F15" s="113" t="s">
        <v>95</v>
      </c>
      <c r="G15" s="74">
        <v>3</v>
      </c>
      <c r="H15" s="113">
        <v>3</v>
      </c>
      <c r="I15" s="121">
        <v>12</v>
      </c>
      <c r="J15" s="113" t="s">
        <v>112</v>
      </c>
      <c r="K15" s="74">
        <v>3</v>
      </c>
      <c r="L15" s="74">
        <v>3</v>
      </c>
      <c r="M15" s="121">
        <v>12</v>
      </c>
      <c r="N15" s="113" t="s">
        <v>122</v>
      </c>
      <c r="O15" s="117" t="s">
        <v>440</v>
      </c>
      <c r="P15" s="117"/>
      <c r="Q15" s="117"/>
      <c r="R15" s="74">
        <v>2</v>
      </c>
      <c r="S15" s="74">
        <v>3</v>
      </c>
      <c r="T15" s="121">
        <v>11</v>
      </c>
      <c r="U15" s="103"/>
      <c r="V15" s="103"/>
      <c r="W15" s="103"/>
      <c r="X15" s="103"/>
      <c r="Y15" s="103"/>
      <c r="Z15" s="103"/>
      <c r="AA15" s="103"/>
      <c r="AB15" s="103"/>
      <c r="AC15" s="103"/>
      <c r="AD15" s="103"/>
      <c r="AE15" s="103"/>
      <c r="AF15" s="103"/>
      <c r="AG15" s="103"/>
      <c r="AH15" s="103"/>
      <c r="AI15" s="103"/>
      <c r="AJ15" s="103"/>
      <c r="AK15" s="103"/>
      <c r="AL15" s="103"/>
      <c r="AM15" s="103"/>
      <c r="AN15" s="103"/>
      <c r="AO15" s="103"/>
      <c r="AP15" s="103"/>
      <c r="AQ15" s="103"/>
      <c r="AR15" s="103"/>
      <c r="AS15" s="103"/>
      <c r="AT15" s="103"/>
      <c r="AU15" s="103"/>
      <c r="AV15" s="103"/>
      <c r="AW15" s="103"/>
      <c r="AX15" s="103"/>
      <c r="AY15" s="103"/>
      <c r="AZ15" s="103"/>
      <c r="BA15" s="103"/>
      <c r="BB15" s="103"/>
    </row>
    <row r="16" spans="1:54" ht="61.2" x14ac:dyDescent="0.3">
      <c r="A16" s="74">
        <v>11</v>
      </c>
      <c r="B16" s="74" t="s">
        <v>48</v>
      </c>
      <c r="C16" s="74" t="s">
        <v>123</v>
      </c>
      <c r="D16" s="75" t="s">
        <v>124</v>
      </c>
      <c r="E16" s="75" t="s">
        <v>445</v>
      </c>
      <c r="F16" s="75" t="s">
        <v>125</v>
      </c>
      <c r="G16" s="74">
        <v>4</v>
      </c>
      <c r="H16" s="74">
        <v>3</v>
      </c>
      <c r="I16" s="125">
        <v>16</v>
      </c>
      <c r="J16" s="71" t="s">
        <v>112</v>
      </c>
      <c r="K16" s="74">
        <v>4</v>
      </c>
      <c r="L16" s="74">
        <v>3</v>
      </c>
      <c r="M16" s="125">
        <v>16</v>
      </c>
      <c r="N16" s="71" t="s">
        <v>126</v>
      </c>
      <c r="O16" s="116" t="s">
        <v>439</v>
      </c>
      <c r="P16" s="120"/>
      <c r="Q16" s="120"/>
      <c r="R16" s="74">
        <v>3</v>
      </c>
      <c r="S16" s="74">
        <v>2</v>
      </c>
      <c r="T16" s="122">
        <v>6</v>
      </c>
      <c r="U16" s="103"/>
      <c r="V16" s="103"/>
      <c r="W16" s="103"/>
      <c r="X16" s="103"/>
      <c r="Y16" s="103"/>
      <c r="Z16" s="103"/>
      <c r="AA16" s="103"/>
      <c r="AB16" s="103"/>
      <c r="AC16" s="103"/>
      <c r="AD16" s="103"/>
      <c r="AE16" s="103"/>
      <c r="AF16" s="103"/>
      <c r="AG16" s="103"/>
      <c r="AH16" s="103"/>
      <c r="AI16" s="103"/>
      <c r="AJ16" s="103"/>
      <c r="AK16" s="103"/>
      <c r="AL16" s="103"/>
      <c r="AM16" s="103"/>
      <c r="AN16" s="103"/>
      <c r="AO16" s="103"/>
      <c r="AP16" s="103"/>
      <c r="AQ16" s="103"/>
      <c r="AR16" s="103"/>
      <c r="AS16" s="103"/>
      <c r="AT16" s="103"/>
      <c r="AU16" s="103"/>
      <c r="AV16" s="103"/>
      <c r="AW16" s="103"/>
      <c r="AX16" s="103"/>
      <c r="AY16" s="103"/>
      <c r="AZ16" s="103"/>
      <c r="BA16" s="103"/>
      <c r="BB16" s="103"/>
    </row>
    <row r="17" spans="1:20" s="103" customFormat="1" ht="81.599999999999994" x14ac:dyDescent="0.3">
      <c r="A17" s="74">
        <v>12</v>
      </c>
      <c r="B17" s="74" t="s">
        <v>48</v>
      </c>
      <c r="C17" s="74" t="s">
        <v>123</v>
      </c>
      <c r="D17" s="75" t="s">
        <v>127</v>
      </c>
      <c r="E17" s="75" t="s">
        <v>445</v>
      </c>
      <c r="F17" s="75" t="s">
        <v>128</v>
      </c>
      <c r="G17" s="74">
        <v>2</v>
      </c>
      <c r="H17" s="74">
        <v>4</v>
      </c>
      <c r="I17" s="125">
        <v>15</v>
      </c>
      <c r="J17" s="71" t="s">
        <v>112</v>
      </c>
      <c r="K17" s="74">
        <v>2</v>
      </c>
      <c r="L17" s="74">
        <v>4</v>
      </c>
      <c r="M17" s="125">
        <v>15</v>
      </c>
      <c r="N17" s="71" t="s">
        <v>129</v>
      </c>
      <c r="O17" s="116" t="s">
        <v>439</v>
      </c>
      <c r="P17" s="117"/>
      <c r="Q17" s="117"/>
      <c r="R17" s="74">
        <v>1</v>
      </c>
      <c r="S17" s="74">
        <v>4</v>
      </c>
      <c r="T17" s="121">
        <v>13</v>
      </c>
    </row>
    <row r="18" spans="1:20" s="103" customFormat="1" ht="61.2" x14ac:dyDescent="0.3">
      <c r="A18" s="74">
        <v>13</v>
      </c>
      <c r="B18" s="74" t="s">
        <v>48</v>
      </c>
      <c r="C18" s="74" t="s">
        <v>123</v>
      </c>
      <c r="D18" s="75" t="s">
        <v>130</v>
      </c>
      <c r="E18" s="75" t="s">
        <v>445</v>
      </c>
      <c r="F18" s="75" t="s">
        <v>131</v>
      </c>
      <c r="G18" s="74">
        <v>4</v>
      </c>
      <c r="H18" s="74">
        <v>3</v>
      </c>
      <c r="I18" s="125">
        <v>16</v>
      </c>
      <c r="J18" s="71" t="s">
        <v>112</v>
      </c>
      <c r="K18" s="74">
        <v>4</v>
      </c>
      <c r="L18" s="74">
        <v>3</v>
      </c>
      <c r="M18" s="125">
        <v>16</v>
      </c>
      <c r="N18" s="71" t="s">
        <v>132</v>
      </c>
      <c r="O18" s="116" t="s">
        <v>506</v>
      </c>
      <c r="P18" s="117"/>
      <c r="Q18" s="120"/>
      <c r="R18" s="74">
        <v>3</v>
      </c>
      <c r="S18" s="74">
        <v>2</v>
      </c>
      <c r="T18" s="122">
        <v>6</v>
      </c>
    </row>
    <row r="19" spans="1:20" s="103" customFormat="1" ht="75.75" customHeight="1" x14ac:dyDescent="0.3">
      <c r="A19" s="74">
        <v>14</v>
      </c>
      <c r="B19" s="74" t="s">
        <v>48</v>
      </c>
      <c r="C19" s="74" t="s">
        <v>123</v>
      </c>
      <c r="D19" s="75" t="s">
        <v>133</v>
      </c>
      <c r="E19" s="75" t="s">
        <v>447</v>
      </c>
      <c r="F19" s="75" t="s">
        <v>500</v>
      </c>
      <c r="G19" s="74">
        <v>5</v>
      </c>
      <c r="H19" s="74">
        <v>3</v>
      </c>
      <c r="I19" s="114">
        <v>20</v>
      </c>
      <c r="J19" s="71" t="s">
        <v>501</v>
      </c>
      <c r="K19" s="74">
        <v>3</v>
      </c>
      <c r="L19" s="74">
        <v>1</v>
      </c>
      <c r="M19" s="122">
        <v>4</v>
      </c>
      <c r="N19" s="71" t="s">
        <v>134</v>
      </c>
      <c r="O19" s="116" t="s">
        <v>446</v>
      </c>
      <c r="P19" s="120"/>
      <c r="Q19" s="120" t="s">
        <v>487</v>
      </c>
      <c r="R19" s="74">
        <v>2</v>
      </c>
      <c r="S19" s="74">
        <v>1</v>
      </c>
      <c r="T19" s="115">
        <v>2</v>
      </c>
    </row>
    <row r="20" spans="1:20" s="103" customFormat="1" ht="67.8" customHeight="1" x14ac:dyDescent="0.3">
      <c r="A20" s="74">
        <v>15</v>
      </c>
      <c r="B20" s="74" t="s">
        <v>48</v>
      </c>
      <c r="C20" s="74" t="s">
        <v>123</v>
      </c>
      <c r="D20" s="75" t="s">
        <v>135</v>
      </c>
      <c r="E20" s="75" t="s">
        <v>448</v>
      </c>
      <c r="F20" s="75" t="s">
        <v>128</v>
      </c>
      <c r="G20" s="74">
        <v>2</v>
      </c>
      <c r="H20" s="74">
        <v>1</v>
      </c>
      <c r="I20" s="115">
        <v>2</v>
      </c>
      <c r="J20" s="71" t="s">
        <v>502</v>
      </c>
      <c r="K20" s="74">
        <v>2</v>
      </c>
      <c r="L20" s="74">
        <v>1</v>
      </c>
      <c r="M20" s="115">
        <v>2</v>
      </c>
      <c r="N20" s="71" t="s">
        <v>490</v>
      </c>
      <c r="O20" s="117" t="s">
        <v>449</v>
      </c>
      <c r="P20" s="117"/>
      <c r="Q20" s="117" t="s">
        <v>487</v>
      </c>
      <c r="R20" s="74">
        <v>1</v>
      </c>
      <c r="S20" s="74">
        <v>1</v>
      </c>
      <c r="T20" s="115">
        <v>1</v>
      </c>
    </row>
    <row r="21" spans="1:20" s="103" customFormat="1" ht="126" customHeight="1" x14ac:dyDescent="0.3">
      <c r="A21" s="74">
        <v>16</v>
      </c>
      <c r="B21" s="74" t="s">
        <v>48</v>
      </c>
      <c r="C21" s="74" t="s">
        <v>123</v>
      </c>
      <c r="D21" s="75" t="s">
        <v>136</v>
      </c>
      <c r="E21" s="75" t="s">
        <v>503</v>
      </c>
      <c r="F21" s="75" t="s">
        <v>137</v>
      </c>
      <c r="G21" s="74">
        <v>3</v>
      </c>
      <c r="H21" s="74">
        <v>2</v>
      </c>
      <c r="I21" s="122">
        <v>6</v>
      </c>
      <c r="J21" s="71" t="s">
        <v>450</v>
      </c>
      <c r="K21" s="74">
        <v>3</v>
      </c>
      <c r="L21" s="74">
        <v>2</v>
      </c>
      <c r="M21" s="122">
        <v>6</v>
      </c>
      <c r="N21" s="71" t="s">
        <v>451</v>
      </c>
      <c r="O21" s="117" t="s">
        <v>449</v>
      </c>
      <c r="P21" s="149">
        <v>42930</v>
      </c>
      <c r="Q21" s="117" t="s">
        <v>74</v>
      </c>
      <c r="R21" s="74">
        <v>2</v>
      </c>
      <c r="S21" s="74">
        <v>2</v>
      </c>
      <c r="T21" s="122">
        <v>5</v>
      </c>
    </row>
    <row r="22" spans="1:20" s="103" customFormat="1" ht="40.799999999999997" x14ac:dyDescent="0.3">
      <c r="A22" s="74">
        <v>17</v>
      </c>
      <c r="B22" s="74" t="s">
        <v>48</v>
      </c>
      <c r="C22" s="74" t="s">
        <v>123</v>
      </c>
      <c r="D22" s="75" t="s">
        <v>452</v>
      </c>
      <c r="E22" s="75" t="s">
        <v>453</v>
      </c>
      <c r="F22" s="75" t="s">
        <v>138</v>
      </c>
      <c r="G22" s="74">
        <v>4</v>
      </c>
      <c r="H22" s="74">
        <v>4</v>
      </c>
      <c r="I22" s="114">
        <v>21</v>
      </c>
      <c r="J22" s="71" t="s">
        <v>454</v>
      </c>
      <c r="K22" s="74">
        <v>2</v>
      </c>
      <c r="L22" s="74">
        <v>2</v>
      </c>
      <c r="M22" s="122">
        <v>5</v>
      </c>
      <c r="N22" s="71" t="s">
        <v>139</v>
      </c>
      <c r="O22" s="123" t="s">
        <v>455</v>
      </c>
      <c r="P22" s="149">
        <v>42900</v>
      </c>
      <c r="Q22" s="120" t="s">
        <v>487</v>
      </c>
      <c r="R22" s="74">
        <v>1</v>
      </c>
      <c r="S22" s="74">
        <v>1</v>
      </c>
      <c r="T22" s="115">
        <v>1</v>
      </c>
    </row>
    <row r="23" spans="1:20" s="103" customFormat="1" ht="40.799999999999997" x14ac:dyDescent="0.3">
      <c r="A23" s="74">
        <v>18</v>
      </c>
      <c r="B23" s="74" t="s">
        <v>48</v>
      </c>
      <c r="C23" s="74" t="s">
        <v>123</v>
      </c>
      <c r="D23" s="75" t="s">
        <v>140</v>
      </c>
      <c r="E23" s="75" t="s">
        <v>456</v>
      </c>
      <c r="F23" s="75" t="s">
        <v>131</v>
      </c>
      <c r="G23" s="74">
        <v>3</v>
      </c>
      <c r="H23" s="74">
        <v>1</v>
      </c>
      <c r="I23" s="122">
        <v>4</v>
      </c>
      <c r="J23" s="71" t="s">
        <v>457</v>
      </c>
      <c r="K23" s="74">
        <v>2</v>
      </c>
      <c r="L23" s="74">
        <v>1</v>
      </c>
      <c r="M23" s="115">
        <v>2</v>
      </c>
      <c r="N23" s="71" t="s">
        <v>141</v>
      </c>
      <c r="O23" s="117" t="s">
        <v>455</v>
      </c>
      <c r="P23" s="117"/>
      <c r="Q23" s="120"/>
      <c r="R23" s="74">
        <v>2</v>
      </c>
      <c r="S23" s="74">
        <v>1</v>
      </c>
      <c r="T23" s="115">
        <v>2</v>
      </c>
    </row>
    <row r="24" spans="1:20" s="103" customFormat="1" ht="61.2" x14ac:dyDescent="0.3">
      <c r="A24" s="74">
        <v>19</v>
      </c>
      <c r="B24" s="74" t="s">
        <v>48</v>
      </c>
      <c r="C24" s="74" t="s">
        <v>50</v>
      </c>
      <c r="D24" s="75" t="s">
        <v>142</v>
      </c>
      <c r="E24" s="75" t="s">
        <v>458</v>
      </c>
      <c r="F24" s="75" t="s">
        <v>143</v>
      </c>
      <c r="G24" s="74">
        <v>3</v>
      </c>
      <c r="H24" s="74">
        <v>1</v>
      </c>
      <c r="I24" s="122">
        <v>4</v>
      </c>
      <c r="J24" s="70" t="s">
        <v>459</v>
      </c>
      <c r="K24" s="74">
        <v>3</v>
      </c>
      <c r="L24" s="74">
        <v>1</v>
      </c>
      <c r="M24" s="122">
        <v>4</v>
      </c>
      <c r="N24" s="71" t="s">
        <v>144</v>
      </c>
      <c r="O24" s="116" t="s">
        <v>460</v>
      </c>
      <c r="P24" s="117"/>
      <c r="Q24" s="117"/>
      <c r="R24" s="74">
        <v>2</v>
      </c>
      <c r="S24" s="74">
        <v>1</v>
      </c>
      <c r="T24" s="115">
        <v>2</v>
      </c>
    </row>
    <row r="25" spans="1:20" s="103" customFormat="1" ht="103.5" customHeight="1" x14ac:dyDescent="0.3">
      <c r="A25" s="74">
        <v>20</v>
      </c>
      <c r="B25" s="74" t="s">
        <v>48</v>
      </c>
      <c r="C25" s="74" t="s">
        <v>50</v>
      </c>
      <c r="D25" s="75" t="s">
        <v>145</v>
      </c>
      <c r="E25" s="75" t="s">
        <v>461</v>
      </c>
      <c r="F25" s="75" t="s">
        <v>146</v>
      </c>
      <c r="G25" s="74">
        <v>2</v>
      </c>
      <c r="H25" s="74">
        <v>1</v>
      </c>
      <c r="I25" s="115">
        <v>2</v>
      </c>
      <c r="J25" s="71" t="s">
        <v>504</v>
      </c>
      <c r="K25" s="74">
        <v>2</v>
      </c>
      <c r="L25" s="74">
        <v>1</v>
      </c>
      <c r="M25" s="115">
        <v>2</v>
      </c>
      <c r="N25" s="71" t="s">
        <v>490</v>
      </c>
      <c r="O25" s="116" t="s">
        <v>460</v>
      </c>
      <c r="P25" s="117"/>
      <c r="Q25" s="117" t="s">
        <v>74</v>
      </c>
      <c r="R25" s="74">
        <v>2</v>
      </c>
      <c r="S25" s="74">
        <v>1</v>
      </c>
      <c r="T25" s="115">
        <v>2</v>
      </c>
    </row>
    <row r="26" spans="1:20" s="103" customFormat="1" ht="102" x14ac:dyDescent="0.3">
      <c r="A26" s="74">
        <v>21</v>
      </c>
      <c r="B26" s="74" t="s">
        <v>48</v>
      </c>
      <c r="C26" s="74" t="s">
        <v>50</v>
      </c>
      <c r="D26" s="75" t="s">
        <v>147</v>
      </c>
      <c r="E26" s="75" t="s">
        <v>445</v>
      </c>
      <c r="F26" s="75" t="s">
        <v>148</v>
      </c>
      <c r="G26" s="74">
        <v>2</v>
      </c>
      <c r="H26" s="74">
        <v>1</v>
      </c>
      <c r="I26" s="115">
        <v>2</v>
      </c>
      <c r="J26" s="75" t="s">
        <v>445</v>
      </c>
      <c r="K26" s="74">
        <v>2</v>
      </c>
      <c r="L26" s="74">
        <v>1</v>
      </c>
      <c r="M26" s="115">
        <v>2</v>
      </c>
      <c r="N26" s="71" t="s">
        <v>149</v>
      </c>
      <c r="O26" s="116" t="s">
        <v>460</v>
      </c>
      <c r="P26" s="117"/>
      <c r="Q26" s="117"/>
      <c r="R26" s="74">
        <v>2</v>
      </c>
      <c r="S26" s="74">
        <v>1</v>
      </c>
      <c r="T26" s="115">
        <v>2</v>
      </c>
    </row>
    <row r="27" spans="1:20" s="103" customFormat="1" ht="122.4" x14ac:dyDescent="0.3">
      <c r="A27" s="74">
        <v>22</v>
      </c>
      <c r="B27" s="74" t="s">
        <v>52</v>
      </c>
      <c r="C27" s="74" t="s">
        <v>51</v>
      </c>
      <c r="D27" s="75" t="s">
        <v>150</v>
      </c>
      <c r="E27" s="75" t="s">
        <v>445</v>
      </c>
      <c r="F27" s="75" t="s">
        <v>151</v>
      </c>
      <c r="G27" s="74">
        <v>4</v>
      </c>
      <c r="H27" s="74">
        <v>3</v>
      </c>
      <c r="I27" s="125">
        <v>16</v>
      </c>
      <c r="J27" s="71" t="s">
        <v>152</v>
      </c>
      <c r="K27" s="74">
        <v>3</v>
      </c>
      <c r="L27" s="74">
        <v>2</v>
      </c>
      <c r="M27" s="122">
        <v>6</v>
      </c>
      <c r="N27" s="71" t="s">
        <v>153</v>
      </c>
      <c r="O27" s="116" t="s">
        <v>439</v>
      </c>
      <c r="P27" s="117"/>
      <c r="Q27" s="117"/>
      <c r="R27" s="74">
        <v>3</v>
      </c>
      <c r="S27" s="74">
        <v>2</v>
      </c>
      <c r="T27" s="122">
        <v>6</v>
      </c>
    </row>
    <row r="28" spans="1:20" s="103" customFormat="1" ht="40.799999999999997" x14ac:dyDescent="0.3">
      <c r="A28" s="74">
        <v>23</v>
      </c>
      <c r="B28" s="74" t="s">
        <v>52</v>
      </c>
      <c r="C28" s="74" t="s">
        <v>51</v>
      </c>
      <c r="D28" s="75" t="s">
        <v>154</v>
      </c>
      <c r="E28" s="75" t="s">
        <v>445</v>
      </c>
      <c r="F28" s="75" t="s">
        <v>155</v>
      </c>
      <c r="G28" s="74">
        <v>4</v>
      </c>
      <c r="H28" s="74">
        <v>3</v>
      </c>
      <c r="I28" s="125">
        <v>16</v>
      </c>
      <c r="J28" s="70" t="s">
        <v>156</v>
      </c>
      <c r="K28" s="74">
        <v>3</v>
      </c>
      <c r="L28" s="74">
        <v>2</v>
      </c>
      <c r="M28" s="122">
        <v>6</v>
      </c>
      <c r="N28" s="71" t="s">
        <v>157</v>
      </c>
      <c r="O28" s="116" t="s">
        <v>439</v>
      </c>
      <c r="P28" s="117"/>
      <c r="Q28" s="117"/>
      <c r="R28" s="74">
        <v>3</v>
      </c>
      <c r="S28" s="74">
        <v>2</v>
      </c>
      <c r="T28" s="122">
        <v>6</v>
      </c>
    </row>
    <row r="29" spans="1:20" s="103" customFormat="1" ht="61.2" x14ac:dyDescent="0.3">
      <c r="A29" s="74">
        <v>24</v>
      </c>
      <c r="B29" s="74" t="s">
        <v>52</v>
      </c>
      <c r="C29" s="74" t="s">
        <v>51</v>
      </c>
      <c r="D29" s="75" t="s">
        <v>158</v>
      </c>
      <c r="E29" s="75" t="s">
        <v>445</v>
      </c>
      <c r="F29" s="75" t="s">
        <v>159</v>
      </c>
      <c r="G29" s="74">
        <v>4</v>
      </c>
      <c r="H29" s="74">
        <v>4</v>
      </c>
      <c r="I29" s="114">
        <v>21</v>
      </c>
      <c r="J29" s="71" t="s">
        <v>160</v>
      </c>
      <c r="K29" s="74">
        <v>2</v>
      </c>
      <c r="L29" s="74">
        <v>4</v>
      </c>
      <c r="M29" s="125">
        <v>15</v>
      </c>
      <c r="N29" s="71" t="s">
        <v>161</v>
      </c>
      <c r="O29" s="116" t="s">
        <v>439</v>
      </c>
      <c r="P29" s="117"/>
      <c r="Q29" s="120"/>
      <c r="R29" s="74">
        <v>2</v>
      </c>
      <c r="S29" s="74">
        <v>3</v>
      </c>
      <c r="T29" s="121">
        <v>11</v>
      </c>
    </row>
    <row r="30" spans="1:20" s="103" customFormat="1" ht="61.2" x14ac:dyDescent="0.3">
      <c r="A30" s="74">
        <v>25</v>
      </c>
      <c r="B30" s="74" t="s">
        <v>52</v>
      </c>
      <c r="C30" s="74" t="s">
        <v>51</v>
      </c>
      <c r="D30" s="75" t="s">
        <v>162</v>
      </c>
      <c r="E30" s="75" t="s">
        <v>445</v>
      </c>
      <c r="F30" s="75" t="s">
        <v>163</v>
      </c>
      <c r="G30" s="74">
        <v>4</v>
      </c>
      <c r="H30" s="74">
        <v>4</v>
      </c>
      <c r="I30" s="114">
        <v>21</v>
      </c>
      <c r="J30" s="71" t="s">
        <v>160</v>
      </c>
      <c r="K30" s="74">
        <v>2</v>
      </c>
      <c r="L30" s="74">
        <v>4</v>
      </c>
      <c r="M30" s="125">
        <v>15</v>
      </c>
      <c r="N30" s="71" t="s">
        <v>161</v>
      </c>
      <c r="O30" s="116" t="s">
        <v>439</v>
      </c>
      <c r="P30" s="117"/>
      <c r="Q30" s="117"/>
      <c r="R30" s="74">
        <v>2</v>
      </c>
      <c r="S30" s="74">
        <v>3</v>
      </c>
      <c r="T30" s="121">
        <v>11</v>
      </c>
    </row>
    <row r="31" spans="1:20" s="103" customFormat="1" ht="40.799999999999997" x14ac:dyDescent="0.3">
      <c r="A31" s="74">
        <v>26</v>
      </c>
      <c r="B31" s="74" t="s">
        <v>52</v>
      </c>
      <c r="C31" s="74" t="s">
        <v>51</v>
      </c>
      <c r="D31" s="75" t="s">
        <v>164</v>
      </c>
      <c r="E31" s="75" t="s">
        <v>445</v>
      </c>
      <c r="F31" s="75" t="s">
        <v>165</v>
      </c>
      <c r="G31" s="74">
        <v>3</v>
      </c>
      <c r="H31" s="74">
        <v>2</v>
      </c>
      <c r="I31" s="122">
        <v>6</v>
      </c>
      <c r="J31" s="70" t="s">
        <v>166</v>
      </c>
      <c r="K31" s="74">
        <v>2</v>
      </c>
      <c r="L31" s="74">
        <v>2</v>
      </c>
      <c r="M31" s="122">
        <v>5</v>
      </c>
      <c r="N31" s="70" t="s">
        <v>166</v>
      </c>
      <c r="O31" s="116" t="s">
        <v>439</v>
      </c>
      <c r="P31" s="120"/>
      <c r="Q31" s="120"/>
      <c r="R31" s="74">
        <v>2</v>
      </c>
      <c r="S31" s="74">
        <v>2</v>
      </c>
      <c r="T31" s="122">
        <v>5</v>
      </c>
    </row>
    <row r="32" spans="1:20" s="103" customFormat="1" ht="61.2" x14ac:dyDescent="0.3">
      <c r="A32" s="74">
        <v>27</v>
      </c>
      <c r="B32" s="74" t="s">
        <v>52</v>
      </c>
      <c r="C32" s="74" t="s">
        <v>53</v>
      </c>
      <c r="D32" s="75" t="s">
        <v>167</v>
      </c>
      <c r="E32" s="75" t="s">
        <v>445</v>
      </c>
      <c r="F32" s="75" t="s">
        <v>168</v>
      </c>
      <c r="G32" s="74">
        <v>4</v>
      </c>
      <c r="H32" s="74">
        <v>2</v>
      </c>
      <c r="I32" s="118">
        <v>9</v>
      </c>
      <c r="J32" s="71" t="s">
        <v>169</v>
      </c>
      <c r="K32" s="74">
        <v>1</v>
      </c>
      <c r="L32" s="74">
        <v>1</v>
      </c>
      <c r="M32" s="115">
        <v>1</v>
      </c>
      <c r="N32" s="71" t="s">
        <v>170</v>
      </c>
      <c r="O32" s="116" t="s">
        <v>439</v>
      </c>
      <c r="P32" s="120"/>
      <c r="Q32" s="120"/>
      <c r="R32" s="74">
        <v>1</v>
      </c>
      <c r="S32" s="74">
        <v>1</v>
      </c>
      <c r="T32" s="115">
        <v>1</v>
      </c>
    </row>
    <row r="33" spans="1:20" s="103" customFormat="1" ht="61.2" x14ac:dyDescent="0.3">
      <c r="A33" s="74">
        <v>28</v>
      </c>
      <c r="B33" s="74" t="s">
        <v>52</v>
      </c>
      <c r="C33" s="74" t="s">
        <v>53</v>
      </c>
      <c r="D33" s="75" t="s">
        <v>171</v>
      </c>
      <c r="E33" s="75" t="s">
        <v>445</v>
      </c>
      <c r="F33" s="75" t="s">
        <v>172</v>
      </c>
      <c r="G33" s="74">
        <v>3</v>
      </c>
      <c r="H33" s="74">
        <v>2</v>
      </c>
      <c r="I33" s="122">
        <v>6</v>
      </c>
      <c r="J33" s="71" t="s">
        <v>173</v>
      </c>
      <c r="K33" s="74">
        <v>2</v>
      </c>
      <c r="L33" s="74">
        <v>2</v>
      </c>
      <c r="M33" s="122">
        <v>5</v>
      </c>
      <c r="N33" s="71" t="s">
        <v>174</v>
      </c>
      <c r="O33" s="116" t="s">
        <v>439</v>
      </c>
      <c r="P33" s="120"/>
      <c r="Q33" s="120"/>
      <c r="R33" s="74">
        <v>2</v>
      </c>
      <c r="S33" s="74">
        <v>2</v>
      </c>
      <c r="T33" s="122">
        <v>5</v>
      </c>
    </row>
    <row r="34" spans="1:20" s="103" customFormat="1" ht="61.2" x14ac:dyDescent="0.3">
      <c r="A34" s="74">
        <v>29</v>
      </c>
      <c r="B34" s="74" t="s">
        <v>52</v>
      </c>
      <c r="C34" s="74" t="s">
        <v>53</v>
      </c>
      <c r="D34" s="75" t="s">
        <v>175</v>
      </c>
      <c r="E34" s="75" t="s">
        <v>445</v>
      </c>
      <c r="F34" s="75" t="s">
        <v>176</v>
      </c>
      <c r="G34" s="74">
        <v>3</v>
      </c>
      <c r="H34" s="74">
        <v>4</v>
      </c>
      <c r="I34" s="125">
        <v>17</v>
      </c>
      <c r="J34" s="71" t="s">
        <v>177</v>
      </c>
      <c r="K34" s="74">
        <v>2</v>
      </c>
      <c r="L34" s="74">
        <v>2</v>
      </c>
      <c r="M34" s="122">
        <v>5</v>
      </c>
      <c r="N34" s="71" t="s">
        <v>178</v>
      </c>
      <c r="O34" s="116" t="s">
        <v>439</v>
      </c>
      <c r="P34" s="120"/>
      <c r="Q34" s="120"/>
      <c r="R34" s="74">
        <v>2</v>
      </c>
      <c r="S34" s="74">
        <v>2</v>
      </c>
      <c r="T34" s="122">
        <v>5</v>
      </c>
    </row>
    <row r="35" spans="1:20" s="103" customFormat="1" ht="61.2" x14ac:dyDescent="0.3">
      <c r="A35" s="74">
        <v>30</v>
      </c>
      <c r="B35" s="74" t="s">
        <v>52</v>
      </c>
      <c r="C35" s="74" t="s">
        <v>53</v>
      </c>
      <c r="D35" s="75" t="s">
        <v>179</v>
      </c>
      <c r="E35" s="75" t="s">
        <v>445</v>
      </c>
      <c r="F35" s="75" t="s">
        <v>180</v>
      </c>
      <c r="G35" s="74">
        <v>3</v>
      </c>
      <c r="H35" s="74">
        <v>2</v>
      </c>
      <c r="I35" s="122">
        <v>6</v>
      </c>
      <c r="J35" s="71" t="s">
        <v>173</v>
      </c>
      <c r="K35" s="74">
        <v>2</v>
      </c>
      <c r="L35" s="74">
        <v>1</v>
      </c>
      <c r="M35" s="115">
        <v>2</v>
      </c>
      <c r="N35" s="71" t="s">
        <v>181</v>
      </c>
      <c r="O35" s="116" t="s">
        <v>439</v>
      </c>
      <c r="P35" s="120"/>
      <c r="Q35" s="117"/>
      <c r="R35" s="74">
        <v>2</v>
      </c>
      <c r="S35" s="74">
        <v>1</v>
      </c>
      <c r="T35" s="115">
        <v>2</v>
      </c>
    </row>
    <row r="36" spans="1:20" s="103" customFormat="1" ht="81.599999999999994" x14ac:dyDescent="0.3">
      <c r="A36" s="74">
        <v>31</v>
      </c>
      <c r="B36" s="74" t="s">
        <v>52</v>
      </c>
      <c r="C36" s="74" t="s">
        <v>53</v>
      </c>
      <c r="D36" s="75" t="s">
        <v>182</v>
      </c>
      <c r="E36" s="75" t="s">
        <v>445</v>
      </c>
      <c r="F36" s="75" t="s">
        <v>183</v>
      </c>
      <c r="G36" s="74">
        <v>3</v>
      </c>
      <c r="H36" s="74">
        <v>2</v>
      </c>
      <c r="I36" s="122">
        <v>6</v>
      </c>
      <c r="J36" s="71" t="s">
        <v>184</v>
      </c>
      <c r="K36" s="74">
        <v>2</v>
      </c>
      <c r="L36" s="74">
        <v>1</v>
      </c>
      <c r="M36" s="115">
        <v>2</v>
      </c>
      <c r="N36" s="71" t="s">
        <v>185</v>
      </c>
      <c r="O36" s="116" t="s">
        <v>439</v>
      </c>
      <c r="P36" s="120"/>
      <c r="Q36" s="117"/>
      <c r="R36" s="74">
        <v>2</v>
      </c>
      <c r="S36" s="74">
        <v>1</v>
      </c>
      <c r="T36" s="115">
        <v>2</v>
      </c>
    </row>
    <row r="37" spans="1:20" s="103" customFormat="1" ht="61.2" x14ac:dyDescent="0.3">
      <c r="A37" s="74">
        <v>32</v>
      </c>
      <c r="B37" s="74" t="s">
        <v>34</v>
      </c>
      <c r="C37" s="74" t="s">
        <v>54</v>
      </c>
      <c r="D37" s="75" t="s">
        <v>186</v>
      </c>
      <c r="E37" s="75" t="s">
        <v>445</v>
      </c>
      <c r="F37" s="75" t="s">
        <v>77</v>
      </c>
      <c r="G37" s="74">
        <v>4</v>
      </c>
      <c r="H37" s="74">
        <v>3</v>
      </c>
      <c r="I37" s="125">
        <v>16</v>
      </c>
      <c r="J37" s="71" t="s">
        <v>187</v>
      </c>
      <c r="K37" s="74">
        <v>3</v>
      </c>
      <c r="L37" s="74">
        <v>3</v>
      </c>
      <c r="M37" s="121">
        <v>12</v>
      </c>
      <c r="N37" s="71" t="s">
        <v>188</v>
      </c>
      <c r="O37" s="116" t="s">
        <v>439</v>
      </c>
      <c r="P37" s="117"/>
      <c r="Q37" s="117"/>
      <c r="R37" s="74">
        <v>2</v>
      </c>
      <c r="S37" s="74">
        <v>2</v>
      </c>
      <c r="T37" s="122">
        <v>5</v>
      </c>
    </row>
    <row r="38" spans="1:20" s="103" customFormat="1" ht="61.2" x14ac:dyDescent="0.3">
      <c r="A38" s="74">
        <v>33</v>
      </c>
      <c r="B38" s="74" t="s">
        <v>34</v>
      </c>
      <c r="C38" s="74" t="s">
        <v>54</v>
      </c>
      <c r="D38" s="75" t="s">
        <v>78</v>
      </c>
      <c r="E38" s="75" t="s">
        <v>445</v>
      </c>
      <c r="F38" s="75" t="s">
        <v>79</v>
      </c>
      <c r="G38" s="74">
        <v>4</v>
      </c>
      <c r="H38" s="74">
        <v>5</v>
      </c>
      <c r="I38" s="119">
        <v>24</v>
      </c>
      <c r="J38" s="71" t="s">
        <v>189</v>
      </c>
      <c r="K38" s="74">
        <v>3</v>
      </c>
      <c r="L38" s="74">
        <v>3</v>
      </c>
      <c r="M38" s="121">
        <v>12</v>
      </c>
      <c r="N38" s="71" t="s">
        <v>190</v>
      </c>
      <c r="O38" s="116" t="s">
        <v>439</v>
      </c>
      <c r="P38" s="117"/>
      <c r="Q38" s="117"/>
      <c r="R38" s="74">
        <v>2</v>
      </c>
      <c r="S38" s="74">
        <v>2</v>
      </c>
      <c r="T38" s="122">
        <v>5</v>
      </c>
    </row>
    <row r="39" spans="1:20" s="103" customFormat="1" ht="40.799999999999997" x14ac:dyDescent="0.3">
      <c r="A39" s="74">
        <v>34</v>
      </c>
      <c r="B39" s="74" t="s">
        <v>34</v>
      </c>
      <c r="C39" s="74" t="s">
        <v>54</v>
      </c>
      <c r="D39" s="75" t="s">
        <v>76</v>
      </c>
      <c r="E39" s="75" t="s">
        <v>445</v>
      </c>
      <c r="F39" s="75" t="s">
        <v>191</v>
      </c>
      <c r="G39" s="74">
        <v>5</v>
      </c>
      <c r="H39" s="74">
        <v>5</v>
      </c>
      <c r="I39" s="119">
        <v>25</v>
      </c>
      <c r="J39" s="71" t="s">
        <v>192</v>
      </c>
      <c r="K39" s="74">
        <v>4</v>
      </c>
      <c r="L39" s="74">
        <v>4</v>
      </c>
      <c r="M39" s="114">
        <v>21</v>
      </c>
      <c r="N39" s="71" t="s">
        <v>193</v>
      </c>
      <c r="O39" s="116" t="s">
        <v>439</v>
      </c>
      <c r="P39" s="117"/>
      <c r="Q39" s="117"/>
      <c r="R39" s="74">
        <v>2</v>
      </c>
      <c r="S39" s="74">
        <v>3</v>
      </c>
      <c r="T39" s="121">
        <v>11</v>
      </c>
    </row>
    <row r="40" spans="1:20" s="103" customFormat="1" ht="102" x14ac:dyDescent="0.3">
      <c r="A40" s="74">
        <v>35</v>
      </c>
      <c r="B40" s="74" t="s">
        <v>34</v>
      </c>
      <c r="C40" s="74" t="s">
        <v>54</v>
      </c>
      <c r="D40" s="75" t="s">
        <v>194</v>
      </c>
      <c r="E40" s="75" t="s">
        <v>445</v>
      </c>
      <c r="F40" s="75" t="s">
        <v>195</v>
      </c>
      <c r="G40" s="74">
        <v>4</v>
      </c>
      <c r="H40" s="74">
        <v>3</v>
      </c>
      <c r="I40" s="125">
        <v>16</v>
      </c>
      <c r="J40" s="71" t="s">
        <v>196</v>
      </c>
      <c r="K40" s="74">
        <v>3</v>
      </c>
      <c r="L40" s="74">
        <v>2</v>
      </c>
      <c r="M40" s="122">
        <v>6</v>
      </c>
      <c r="N40" s="71" t="s">
        <v>197</v>
      </c>
      <c r="O40" s="116" t="s">
        <v>439</v>
      </c>
      <c r="P40" s="117"/>
      <c r="Q40" s="117"/>
      <c r="R40" s="74">
        <v>2</v>
      </c>
      <c r="S40" s="74">
        <v>1</v>
      </c>
      <c r="T40" s="115">
        <v>2</v>
      </c>
    </row>
    <row r="41" spans="1:20" s="103" customFormat="1" ht="61.2" x14ac:dyDescent="0.3">
      <c r="A41" s="74">
        <v>36</v>
      </c>
      <c r="B41" s="74" t="s">
        <v>34</v>
      </c>
      <c r="C41" s="74" t="s">
        <v>54</v>
      </c>
      <c r="D41" s="75" t="s">
        <v>198</v>
      </c>
      <c r="E41" s="75" t="s">
        <v>445</v>
      </c>
      <c r="F41" s="75" t="s">
        <v>199</v>
      </c>
      <c r="G41" s="74">
        <v>5</v>
      </c>
      <c r="H41" s="74">
        <v>3</v>
      </c>
      <c r="I41" s="114">
        <v>20</v>
      </c>
      <c r="J41" s="71" t="s">
        <v>200</v>
      </c>
      <c r="K41" s="74">
        <v>4</v>
      </c>
      <c r="L41" s="74">
        <v>2</v>
      </c>
      <c r="M41" s="118">
        <v>9</v>
      </c>
      <c r="N41" s="71" t="s">
        <v>201</v>
      </c>
      <c r="O41" s="116" t="s">
        <v>439</v>
      </c>
      <c r="P41" s="120"/>
      <c r="Q41" s="120"/>
      <c r="R41" s="74">
        <v>3</v>
      </c>
      <c r="S41" s="74">
        <v>1</v>
      </c>
      <c r="T41" s="122">
        <v>4</v>
      </c>
    </row>
    <row r="42" spans="1:20" s="103" customFormat="1" ht="102" x14ac:dyDescent="0.3">
      <c r="A42" s="74">
        <v>37</v>
      </c>
      <c r="B42" s="74" t="s">
        <v>34</v>
      </c>
      <c r="C42" s="74" t="s">
        <v>54</v>
      </c>
      <c r="D42" s="75" t="s">
        <v>202</v>
      </c>
      <c r="E42" s="75" t="s">
        <v>445</v>
      </c>
      <c r="F42" s="75" t="s">
        <v>203</v>
      </c>
      <c r="G42" s="74">
        <v>4</v>
      </c>
      <c r="H42" s="74">
        <v>4</v>
      </c>
      <c r="I42" s="114">
        <v>21</v>
      </c>
      <c r="J42" s="71" t="s">
        <v>204</v>
      </c>
      <c r="K42" s="74">
        <v>4</v>
      </c>
      <c r="L42" s="74">
        <v>3</v>
      </c>
      <c r="M42" s="125">
        <v>16</v>
      </c>
      <c r="N42" s="71" t="s">
        <v>205</v>
      </c>
      <c r="O42" s="116" t="s">
        <v>439</v>
      </c>
      <c r="P42" s="117"/>
      <c r="Q42" s="117"/>
      <c r="R42" s="74">
        <v>2</v>
      </c>
      <c r="S42" s="74">
        <v>2</v>
      </c>
      <c r="T42" s="122">
        <v>5</v>
      </c>
    </row>
    <row r="43" spans="1:20" s="103" customFormat="1" ht="102" x14ac:dyDescent="0.3">
      <c r="A43" s="74">
        <v>38</v>
      </c>
      <c r="B43" s="74" t="s">
        <v>34</v>
      </c>
      <c r="C43" s="74" t="s">
        <v>54</v>
      </c>
      <c r="D43" s="75" t="s">
        <v>206</v>
      </c>
      <c r="E43" s="75" t="s">
        <v>445</v>
      </c>
      <c r="F43" s="75" t="s">
        <v>207</v>
      </c>
      <c r="G43" s="74">
        <v>3</v>
      </c>
      <c r="H43" s="74">
        <v>4</v>
      </c>
      <c r="I43" s="125">
        <v>17</v>
      </c>
      <c r="J43" s="71" t="s">
        <v>208</v>
      </c>
      <c r="K43" s="74">
        <v>3</v>
      </c>
      <c r="L43" s="74">
        <v>3</v>
      </c>
      <c r="M43" s="121">
        <v>12</v>
      </c>
      <c r="N43" s="71" t="s">
        <v>209</v>
      </c>
      <c r="O43" s="116" t="s">
        <v>439</v>
      </c>
      <c r="P43" s="120"/>
      <c r="Q43" s="120"/>
      <c r="R43" s="74">
        <v>2</v>
      </c>
      <c r="S43" s="74">
        <v>2</v>
      </c>
      <c r="T43" s="122">
        <v>5</v>
      </c>
    </row>
    <row r="44" spans="1:20" s="103" customFormat="1" ht="102" x14ac:dyDescent="0.3">
      <c r="A44" s="74">
        <v>39</v>
      </c>
      <c r="B44" s="74" t="s">
        <v>34</v>
      </c>
      <c r="C44" s="74" t="s">
        <v>54</v>
      </c>
      <c r="D44" s="75" t="s">
        <v>210</v>
      </c>
      <c r="E44" s="75" t="s">
        <v>445</v>
      </c>
      <c r="F44" s="75" t="s">
        <v>211</v>
      </c>
      <c r="G44" s="74">
        <v>4</v>
      </c>
      <c r="H44" s="74">
        <v>4</v>
      </c>
      <c r="I44" s="114">
        <v>21</v>
      </c>
      <c r="J44" s="71" t="s">
        <v>212</v>
      </c>
      <c r="K44" s="74">
        <v>3</v>
      </c>
      <c r="L44" s="74">
        <v>3</v>
      </c>
      <c r="M44" s="121">
        <v>12</v>
      </c>
      <c r="N44" s="71" t="s">
        <v>213</v>
      </c>
      <c r="O44" s="116" t="s">
        <v>439</v>
      </c>
      <c r="P44" s="117"/>
      <c r="Q44" s="117"/>
      <c r="R44" s="74">
        <v>2</v>
      </c>
      <c r="S44" s="74">
        <v>2</v>
      </c>
      <c r="T44" s="122">
        <v>5</v>
      </c>
    </row>
    <row r="45" spans="1:20" s="103" customFormat="1" ht="102" x14ac:dyDescent="0.3">
      <c r="A45" s="74">
        <v>40</v>
      </c>
      <c r="B45" s="74" t="s">
        <v>34</v>
      </c>
      <c r="C45" s="74" t="s">
        <v>54</v>
      </c>
      <c r="D45" s="75" t="s">
        <v>214</v>
      </c>
      <c r="E45" s="75" t="s">
        <v>445</v>
      </c>
      <c r="F45" s="75" t="s">
        <v>215</v>
      </c>
      <c r="G45" s="74">
        <v>4</v>
      </c>
      <c r="H45" s="74">
        <v>5</v>
      </c>
      <c r="I45" s="119">
        <v>24</v>
      </c>
      <c r="J45" s="71" t="s">
        <v>216</v>
      </c>
      <c r="K45" s="74">
        <v>3</v>
      </c>
      <c r="L45" s="74">
        <v>4</v>
      </c>
      <c r="M45" s="125">
        <v>17</v>
      </c>
      <c r="N45" s="71" t="s">
        <v>217</v>
      </c>
      <c r="O45" s="116" t="s">
        <v>439</v>
      </c>
      <c r="P45" s="120"/>
      <c r="Q45" s="120"/>
      <c r="R45" s="74">
        <v>2</v>
      </c>
      <c r="S45" s="74">
        <v>3</v>
      </c>
      <c r="T45" s="121">
        <v>11</v>
      </c>
    </row>
    <row r="46" spans="1:20" s="103" customFormat="1" ht="81.599999999999994" x14ac:dyDescent="0.3">
      <c r="A46" s="74">
        <v>41</v>
      </c>
      <c r="B46" s="74" t="s">
        <v>34</v>
      </c>
      <c r="C46" s="74" t="s">
        <v>54</v>
      </c>
      <c r="D46" s="75" t="s">
        <v>218</v>
      </c>
      <c r="E46" s="75" t="s">
        <v>445</v>
      </c>
      <c r="F46" s="75" t="s">
        <v>219</v>
      </c>
      <c r="G46" s="74">
        <v>3</v>
      </c>
      <c r="H46" s="74">
        <v>5</v>
      </c>
      <c r="I46" s="119">
        <v>23</v>
      </c>
      <c r="J46" s="71" t="s">
        <v>220</v>
      </c>
      <c r="K46" s="74">
        <v>3</v>
      </c>
      <c r="L46" s="74">
        <v>4</v>
      </c>
      <c r="M46" s="125">
        <v>17</v>
      </c>
      <c r="N46" s="71" t="s">
        <v>221</v>
      </c>
      <c r="O46" s="116" t="s">
        <v>439</v>
      </c>
      <c r="P46" s="117"/>
      <c r="Q46" s="117"/>
      <c r="R46" s="74">
        <v>2</v>
      </c>
      <c r="S46" s="74">
        <v>3</v>
      </c>
      <c r="T46" s="121">
        <v>11</v>
      </c>
    </row>
    <row r="47" spans="1:20" s="103" customFormat="1" ht="40.799999999999997" x14ac:dyDescent="0.3">
      <c r="A47" s="74">
        <v>42</v>
      </c>
      <c r="B47" s="74" t="s">
        <v>34</v>
      </c>
      <c r="C47" s="74" t="s">
        <v>54</v>
      </c>
      <c r="D47" s="75" t="s">
        <v>222</v>
      </c>
      <c r="E47" s="75" t="s">
        <v>445</v>
      </c>
      <c r="F47" s="75" t="s">
        <v>223</v>
      </c>
      <c r="G47" s="74">
        <v>4</v>
      </c>
      <c r="H47" s="74">
        <v>4</v>
      </c>
      <c r="I47" s="114">
        <v>21</v>
      </c>
      <c r="J47" s="71" t="s">
        <v>204</v>
      </c>
      <c r="K47" s="74">
        <v>4</v>
      </c>
      <c r="L47" s="74">
        <v>3</v>
      </c>
      <c r="M47" s="125">
        <v>16</v>
      </c>
      <c r="N47" s="71" t="s">
        <v>224</v>
      </c>
      <c r="O47" s="116" t="s">
        <v>439</v>
      </c>
      <c r="P47" s="117"/>
      <c r="Q47" s="117"/>
      <c r="R47" s="74">
        <v>2</v>
      </c>
      <c r="S47" s="74">
        <v>2</v>
      </c>
      <c r="T47" s="122">
        <v>5</v>
      </c>
    </row>
    <row r="48" spans="1:20" s="103" customFormat="1" ht="61.2" x14ac:dyDescent="0.3">
      <c r="A48" s="74">
        <v>43</v>
      </c>
      <c r="B48" s="74" t="s">
        <v>34</v>
      </c>
      <c r="C48" s="74" t="s">
        <v>54</v>
      </c>
      <c r="D48" s="75" t="s">
        <v>225</v>
      </c>
      <c r="E48" s="75" t="s">
        <v>445</v>
      </c>
      <c r="F48" s="75" t="s">
        <v>226</v>
      </c>
      <c r="G48" s="74">
        <v>2</v>
      </c>
      <c r="H48" s="74">
        <v>3</v>
      </c>
      <c r="I48" s="121">
        <v>11</v>
      </c>
      <c r="J48" s="71" t="s">
        <v>204</v>
      </c>
      <c r="K48" s="74">
        <v>2</v>
      </c>
      <c r="L48" s="74">
        <v>2</v>
      </c>
      <c r="M48" s="122">
        <v>5</v>
      </c>
      <c r="N48" s="71" t="s">
        <v>227</v>
      </c>
      <c r="O48" s="116" t="s">
        <v>439</v>
      </c>
      <c r="P48" s="120"/>
      <c r="Q48" s="120"/>
      <c r="R48" s="74">
        <v>1</v>
      </c>
      <c r="S48" s="74">
        <v>1</v>
      </c>
      <c r="T48" s="115">
        <v>1</v>
      </c>
    </row>
    <row r="49" spans="1:54" ht="102" x14ac:dyDescent="0.3">
      <c r="A49" s="74">
        <v>44</v>
      </c>
      <c r="B49" s="74" t="s">
        <v>34</v>
      </c>
      <c r="C49" s="74" t="s">
        <v>54</v>
      </c>
      <c r="D49" s="75" t="s">
        <v>228</v>
      </c>
      <c r="E49" s="75" t="s">
        <v>445</v>
      </c>
      <c r="F49" s="75" t="s">
        <v>229</v>
      </c>
      <c r="G49" s="74">
        <v>5</v>
      </c>
      <c r="H49" s="74">
        <v>4</v>
      </c>
      <c r="I49" s="119">
        <v>22</v>
      </c>
      <c r="J49" s="71" t="s">
        <v>230</v>
      </c>
      <c r="K49" s="74">
        <v>4</v>
      </c>
      <c r="L49" s="74">
        <v>3</v>
      </c>
      <c r="M49" s="125">
        <v>16</v>
      </c>
      <c r="N49" s="71" t="s">
        <v>231</v>
      </c>
      <c r="O49" s="116" t="s">
        <v>439</v>
      </c>
      <c r="P49" s="117"/>
      <c r="Q49" s="117"/>
      <c r="R49" s="74">
        <v>3</v>
      </c>
      <c r="S49" s="74">
        <v>2</v>
      </c>
      <c r="T49" s="122">
        <v>6</v>
      </c>
      <c r="U49" s="103"/>
      <c r="V49" s="103"/>
      <c r="W49" s="103"/>
      <c r="X49" s="103"/>
      <c r="Y49" s="103"/>
      <c r="Z49" s="103"/>
      <c r="AA49" s="103"/>
      <c r="AB49" s="103"/>
      <c r="AC49" s="103"/>
      <c r="AD49" s="103"/>
      <c r="AE49" s="103"/>
      <c r="AF49" s="103"/>
      <c r="AG49" s="103"/>
      <c r="AH49" s="103"/>
      <c r="AI49" s="103"/>
      <c r="AJ49" s="103"/>
      <c r="AK49" s="103"/>
      <c r="AL49" s="103"/>
      <c r="AM49" s="103"/>
      <c r="AN49" s="103"/>
      <c r="AO49" s="103"/>
      <c r="AP49" s="103"/>
      <c r="AQ49" s="103"/>
      <c r="AR49" s="103"/>
      <c r="AS49" s="103"/>
      <c r="AT49" s="103"/>
      <c r="AU49" s="103"/>
      <c r="AV49" s="103"/>
      <c r="AW49" s="103"/>
      <c r="AX49" s="103"/>
      <c r="AY49" s="103"/>
      <c r="AZ49" s="103"/>
      <c r="BA49" s="103"/>
      <c r="BB49" s="103"/>
    </row>
    <row r="50" spans="1:54" ht="81.599999999999994" x14ac:dyDescent="0.3">
      <c r="A50" s="74">
        <v>45</v>
      </c>
      <c r="B50" s="74" t="s">
        <v>34</v>
      </c>
      <c r="C50" s="74" t="s">
        <v>54</v>
      </c>
      <c r="D50" s="75" t="s">
        <v>91</v>
      </c>
      <c r="E50" s="75" t="s">
        <v>445</v>
      </c>
      <c r="F50" s="75" t="s">
        <v>92</v>
      </c>
      <c r="G50" s="74">
        <v>3</v>
      </c>
      <c r="H50" s="74">
        <v>4</v>
      </c>
      <c r="I50" s="125">
        <v>17</v>
      </c>
      <c r="J50" s="71" t="s">
        <v>204</v>
      </c>
      <c r="K50" s="74">
        <v>3</v>
      </c>
      <c r="L50" s="74">
        <v>3</v>
      </c>
      <c r="M50" s="121">
        <v>12</v>
      </c>
      <c r="N50" s="71" t="s">
        <v>232</v>
      </c>
      <c r="O50" s="116" t="s">
        <v>439</v>
      </c>
      <c r="P50" s="117"/>
      <c r="Q50" s="117"/>
      <c r="R50" s="74">
        <v>2</v>
      </c>
      <c r="S50" s="74">
        <v>2</v>
      </c>
      <c r="T50" s="122">
        <v>5</v>
      </c>
      <c r="U50" s="103"/>
      <c r="V50" s="103"/>
      <c r="W50" s="103"/>
      <c r="X50" s="103"/>
      <c r="Y50" s="103"/>
      <c r="Z50" s="103"/>
      <c r="AA50" s="103"/>
      <c r="AB50" s="103"/>
      <c r="AC50" s="103"/>
      <c r="AD50" s="103"/>
      <c r="AE50" s="103"/>
      <c r="AF50" s="103"/>
      <c r="AG50" s="103"/>
      <c r="AH50" s="103"/>
      <c r="AI50" s="103"/>
      <c r="AJ50" s="103"/>
      <c r="AK50" s="103"/>
      <c r="AL50" s="103"/>
      <c r="AM50" s="103"/>
      <c r="AN50" s="103"/>
      <c r="AO50" s="103"/>
      <c r="AP50" s="103"/>
      <c r="AQ50" s="103"/>
      <c r="AR50" s="103"/>
      <c r="AS50" s="103"/>
      <c r="AT50" s="103"/>
      <c r="AU50" s="103"/>
      <c r="AV50" s="103"/>
      <c r="AW50" s="103"/>
      <c r="AX50" s="103"/>
      <c r="AY50" s="103"/>
      <c r="AZ50" s="103"/>
      <c r="BA50" s="103"/>
      <c r="BB50" s="103"/>
    </row>
    <row r="51" spans="1:54" ht="61.2" x14ac:dyDescent="0.3">
      <c r="A51" s="74">
        <v>46</v>
      </c>
      <c r="B51" s="74" t="s">
        <v>34</v>
      </c>
      <c r="C51" s="74" t="s">
        <v>54</v>
      </c>
      <c r="D51" s="75" t="s">
        <v>84</v>
      </c>
      <c r="E51" s="75" t="s">
        <v>445</v>
      </c>
      <c r="F51" s="75" t="s">
        <v>85</v>
      </c>
      <c r="G51" s="74">
        <v>4</v>
      </c>
      <c r="H51" s="74">
        <v>4</v>
      </c>
      <c r="I51" s="114">
        <v>21</v>
      </c>
      <c r="J51" s="71" t="s">
        <v>233</v>
      </c>
      <c r="K51" s="74">
        <v>3</v>
      </c>
      <c r="L51" s="74">
        <v>3</v>
      </c>
      <c r="M51" s="121">
        <v>12</v>
      </c>
      <c r="N51" s="71" t="s">
        <v>234</v>
      </c>
      <c r="O51" s="116" t="s">
        <v>439</v>
      </c>
      <c r="P51" s="117"/>
      <c r="Q51" s="117"/>
      <c r="R51" s="74">
        <v>2</v>
      </c>
      <c r="S51" s="74">
        <v>2</v>
      </c>
      <c r="T51" s="122">
        <v>5</v>
      </c>
      <c r="U51" s="103"/>
      <c r="V51" s="103"/>
      <c r="W51" s="103"/>
      <c r="X51" s="103"/>
      <c r="Y51" s="103"/>
      <c r="Z51" s="103"/>
      <c r="AA51" s="103"/>
      <c r="AB51" s="103"/>
      <c r="AC51" s="103"/>
      <c r="AD51" s="103"/>
      <c r="AE51" s="103"/>
      <c r="AF51" s="103"/>
      <c r="AG51" s="103"/>
      <c r="AH51" s="103"/>
      <c r="AI51" s="103"/>
      <c r="AJ51" s="103"/>
      <c r="AK51" s="103"/>
      <c r="AL51" s="103"/>
      <c r="AM51" s="103"/>
      <c r="AN51" s="103"/>
      <c r="AO51" s="103"/>
      <c r="AP51" s="103"/>
      <c r="AQ51" s="103"/>
      <c r="AR51" s="103"/>
      <c r="AS51" s="103"/>
      <c r="AT51" s="103"/>
      <c r="AU51" s="103"/>
      <c r="AV51" s="103"/>
      <c r="AW51" s="103"/>
      <c r="AX51" s="103"/>
      <c r="AY51" s="103"/>
      <c r="AZ51" s="103"/>
      <c r="BA51" s="103"/>
      <c r="BB51" s="103"/>
    </row>
    <row r="52" spans="1:54" ht="61.2" x14ac:dyDescent="0.3">
      <c r="A52" s="74">
        <v>47</v>
      </c>
      <c r="B52" s="74" t="s">
        <v>34</v>
      </c>
      <c r="C52" s="74" t="s">
        <v>54</v>
      </c>
      <c r="D52" s="75" t="s">
        <v>235</v>
      </c>
      <c r="E52" s="75" t="s">
        <v>445</v>
      </c>
      <c r="F52" s="75" t="s">
        <v>236</v>
      </c>
      <c r="G52" s="74">
        <v>4</v>
      </c>
      <c r="H52" s="74">
        <v>5</v>
      </c>
      <c r="I52" s="119">
        <v>24</v>
      </c>
      <c r="J52" s="71" t="s">
        <v>237</v>
      </c>
      <c r="K52" s="74">
        <v>3</v>
      </c>
      <c r="L52" s="74">
        <v>5</v>
      </c>
      <c r="M52" s="119">
        <v>23</v>
      </c>
      <c r="N52" s="71" t="s">
        <v>238</v>
      </c>
      <c r="O52" s="116" t="s">
        <v>439</v>
      </c>
      <c r="P52" s="117"/>
      <c r="Q52" s="117"/>
      <c r="R52" s="74">
        <v>2</v>
      </c>
      <c r="S52" s="74">
        <v>3</v>
      </c>
      <c r="T52" s="121">
        <v>11</v>
      </c>
      <c r="U52" s="103"/>
      <c r="V52" s="103"/>
      <c r="W52" s="103"/>
      <c r="X52" s="103"/>
      <c r="Y52" s="103"/>
      <c r="Z52" s="103"/>
      <c r="AA52" s="103"/>
      <c r="AB52" s="103"/>
      <c r="AC52" s="103"/>
      <c r="AD52" s="103"/>
      <c r="AE52" s="103"/>
      <c r="AF52" s="103"/>
      <c r="AG52" s="103"/>
      <c r="AH52" s="103"/>
      <c r="AI52" s="103"/>
      <c r="AJ52" s="103"/>
      <c r="AK52" s="103"/>
      <c r="AL52" s="103"/>
      <c r="AM52" s="103"/>
      <c r="AN52" s="103"/>
      <c r="AO52" s="103"/>
      <c r="AP52" s="103"/>
      <c r="AQ52" s="103"/>
      <c r="AR52" s="103"/>
      <c r="AS52" s="103"/>
      <c r="AT52" s="103"/>
      <c r="AU52" s="103"/>
      <c r="AV52" s="103"/>
      <c r="AW52" s="103"/>
      <c r="AX52" s="103"/>
      <c r="AY52" s="103"/>
      <c r="AZ52" s="103"/>
      <c r="BA52" s="103"/>
      <c r="BB52" s="103"/>
    </row>
    <row r="53" spans="1:54" ht="81.599999999999994" x14ac:dyDescent="0.3">
      <c r="A53" s="74">
        <v>48</v>
      </c>
      <c r="B53" s="74" t="s">
        <v>34</v>
      </c>
      <c r="C53" s="74" t="s">
        <v>54</v>
      </c>
      <c r="D53" s="75" t="s">
        <v>239</v>
      </c>
      <c r="E53" s="75" t="s">
        <v>445</v>
      </c>
      <c r="F53" s="75" t="s">
        <v>240</v>
      </c>
      <c r="G53" s="74">
        <v>4</v>
      </c>
      <c r="H53" s="74">
        <v>5</v>
      </c>
      <c r="I53" s="119">
        <v>24</v>
      </c>
      <c r="J53" s="71" t="s">
        <v>241</v>
      </c>
      <c r="K53" s="74">
        <v>3</v>
      </c>
      <c r="L53" s="74">
        <v>3</v>
      </c>
      <c r="M53" s="121">
        <v>12</v>
      </c>
      <c r="N53" s="71" t="s">
        <v>242</v>
      </c>
      <c r="O53" s="116" t="s">
        <v>439</v>
      </c>
      <c r="P53" s="117"/>
      <c r="Q53" s="117"/>
      <c r="R53" s="74">
        <v>2</v>
      </c>
      <c r="S53" s="74">
        <v>2</v>
      </c>
      <c r="T53" s="122">
        <v>5</v>
      </c>
      <c r="U53" s="103"/>
      <c r="V53" s="103"/>
      <c r="W53" s="103"/>
      <c r="X53" s="103"/>
      <c r="Y53" s="103"/>
      <c r="Z53" s="103"/>
      <c r="AA53" s="103"/>
      <c r="AB53" s="103"/>
      <c r="AC53" s="103"/>
      <c r="AD53" s="103"/>
      <c r="AE53" s="103"/>
      <c r="AF53" s="103"/>
      <c r="AG53" s="103"/>
      <c r="AH53" s="103"/>
      <c r="AI53" s="103"/>
      <c r="AJ53" s="103"/>
      <c r="AK53" s="103"/>
      <c r="AL53" s="103"/>
      <c r="AM53" s="103"/>
      <c r="AN53" s="103"/>
      <c r="AO53" s="103"/>
      <c r="AP53" s="103"/>
      <c r="AQ53" s="103"/>
      <c r="AR53" s="103"/>
      <c r="AS53" s="103"/>
      <c r="AT53" s="103"/>
      <c r="AU53" s="103"/>
      <c r="AV53" s="103"/>
      <c r="AW53" s="103"/>
      <c r="AX53" s="103"/>
      <c r="AY53" s="103"/>
      <c r="AZ53" s="103"/>
      <c r="BA53" s="103"/>
      <c r="BB53" s="103"/>
    </row>
    <row r="54" spans="1:54" ht="61.2" x14ac:dyDescent="0.3">
      <c r="A54" s="74">
        <v>49</v>
      </c>
      <c r="B54" s="74" t="s">
        <v>34</v>
      </c>
      <c r="C54" s="74" t="s">
        <v>54</v>
      </c>
      <c r="D54" s="75" t="s">
        <v>243</v>
      </c>
      <c r="E54" s="75" t="s">
        <v>445</v>
      </c>
      <c r="F54" s="75" t="s">
        <v>244</v>
      </c>
      <c r="G54" s="74">
        <v>4</v>
      </c>
      <c r="H54" s="74">
        <v>5</v>
      </c>
      <c r="I54" s="119">
        <v>24</v>
      </c>
      <c r="J54" s="70" t="s">
        <v>204</v>
      </c>
      <c r="K54" s="74">
        <v>4</v>
      </c>
      <c r="L54" s="74">
        <v>5</v>
      </c>
      <c r="M54" s="119">
        <v>24</v>
      </c>
      <c r="N54" s="70" t="s">
        <v>245</v>
      </c>
      <c r="O54" s="116" t="s">
        <v>439</v>
      </c>
      <c r="P54" s="120"/>
      <c r="Q54" s="120"/>
      <c r="R54" s="74">
        <v>2</v>
      </c>
      <c r="S54" s="74">
        <v>3</v>
      </c>
      <c r="T54" s="121">
        <v>11</v>
      </c>
      <c r="U54" s="103"/>
      <c r="V54" s="103"/>
      <c r="W54" s="103"/>
      <c r="X54" s="103"/>
      <c r="Y54" s="103"/>
      <c r="Z54" s="103"/>
      <c r="AA54" s="103"/>
      <c r="AB54" s="103"/>
      <c r="AC54" s="103"/>
      <c r="AD54" s="103"/>
      <c r="AE54" s="103"/>
      <c r="AF54" s="103"/>
      <c r="AG54" s="103"/>
      <c r="AH54" s="103"/>
      <c r="AI54" s="103"/>
      <c r="AJ54" s="103"/>
      <c r="AK54" s="103"/>
      <c r="AL54" s="103"/>
      <c r="AM54" s="103"/>
      <c r="AN54" s="103"/>
      <c r="AO54" s="103"/>
      <c r="AP54" s="103"/>
      <c r="AQ54" s="103"/>
      <c r="AR54" s="103"/>
      <c r="AS54" s="103"/>
      <c r="AT54" s="103"/>
      <c r="AU54" s="103"/>
      <c r="AV54" s="103"/>
      <c r="AW54" s="103"/>
      <c r="AX54" s="103"/>
      <c r="AY54" s="103"/>
      <c r="AZ54" s="103"/>
      <c r="BA54" s="103"/>
      <c r="BB54" s="103"/>
    </row>
    <row r="55" spans="1:54" ht="40.799999999999997" x14ac:dyDescent="0.3">
      <c r="A55" s="74">
        <v>50</v>
      </c>
      <c r="B55" s="74" t="s">
        <v>34</v>
      </c>
      <c r="C55" s="74" t="s">
        <v>54</v>
      </c>
      <c r="D55" s="75" t="s">
        <v>246</v>
      </c>
      <c r="E55" s="75" t="s">
        <v>445</v>
      </c>
      <c r="F55" s="75" t="s">
        <v>247</v>
      </c>
      <c r="G55" s="74">
        <v>3</v>
      </c>
      <c r="H55" s="74">
        <v>4</v>
      </c>
      <c r="I55" s="125">
        <v>17</v>
      </c>
      <c r="J55" s="71" t="s">
        <v>204</v>
      </c>
      <c r="K55" s="74">
        <v>3</v>
      </c>
      <c r="L55" s="74">
        <v>4</v>
      </c>
      <c r="M55" s="125">
        <v>17</v>
      </c>
      <c r="N55" s="71" t="s">
        <v>248</v>
      </c>
      <c r="O55" s="116" t="s">
        <v>439</v>
      </c>
      <c r="P55" s="120"/>
      <c r="Q55" s="120"/>
      <c r="R55" s="74">
        <v>1</v>
      </c>
      <c r="S55" s="74">
        <v>3</v>
      </c>
      <c r="T55" s="118">
        <v>10</v>
      </c>
      <c r="U55" s="103"/>
      <c r="V55" s="103"/>
      <c r="W55" s="103"/>
      <c r="X55" s="103"/>
      <c r="Y55" s="103"/>
      <c r="Z55" s="103"/>
      <c r="AA55" s="103"/>
      <c r="AB55" s="103"/>
      <c r="AC55" s="103"/>
      <c r="AD55" s="103"/>
      <c r="AE55" s="103"/>
      <c r="AF55" s="103"/>
      <c r="AG55" s="103"/>
      <c r="AH55" s="103"/>
      <c r="AI55" s="103"/>
      <c r="AJ55" s="103"/>
      <c r="AK55" s="103"/>
      <c r="AL55" s="103"/>
      <c r="AM55" s="103"/>
      <c r="AN55" s="103"/>
      <c r="AO55" s="103"/>
      <c r="AP55" s="103"/>
      <c r="AQ55" s="103"/>
      <c r="AR55" s="103"/>
      <c r="AS55" s="103"/>
      <c r="AT55" s="103"/>
      <c r="AU55" s="103"/>
      <c r="AV55" s="103"/>
      <c r="AW55" s="103"/>
      <c r="AX55" s="103"/>
      <c r="AY55" s="103"/>
      <c r="AZ55" s="103"/>
      <c r="BA55" s="103"/>
      <c r="BB55" s="103"/>
    </row>
    <row r="56" spans="1:54" ht="61.2" x14ac:dyDescent="0.3">
      <c r="A56" s="74">
        <v>51</v>
      </c>
      <c r="B56" s="74" t="s">
        <v>34</v>
      </c>
      <c r="C56" s="74" t="s">
        <v>54</v>
      </c>
      <c r="D56" s="75" t="s">
        <v>249</v>
      </c>
      <c r="E56" s="75" t="s">
        <v>445</v>
      </c>
      <c r="F56" s="75" t="s">
        <v>250</v>
      </c>
      <c r="G56" s="74">
        <v>3</v>
      </c>
      <c r="H56" s="74">
        <v>5</v>
      </c>
      <c r="I56" s="119">
        <v>23</v>
      </c>
      <c r="J56" s="71" t="s">
        <v>204</v>
      </c>
      <c r="K56" s="74">
        <v>3</v>
      </c>
      <c r="L56" s="74">
        <v>5</v>
      </c>
      <c r="M56" s="119">
        <v>23</v>
      </c>
      <c r="N56" s="71" t="s">
        <v>251</v>
      </c>
      <c r="O56" s="116" t="s">
        <v>439</v>
      </c>
      <c r="P56" s="120"/>
      <c r="Q56" s="120"/>
      <c r="R56" s="74">
        <v>2</v>
      </c>
      <c r="S56" s="74">
        <v>3</v>
      </c>
      <c r="T56" s="121">
        <v>11</v>
      </c>
      <c r="U56" s="103"/>
      <c r="V56" s="103"/>
      <c r="W56" s="103"/>
      <c r="X56" s="103"/>
      <c r="Y56" s="103"/>
      <c r="Z56" s="103"/>
      <c r="AA56" s="103"/>
      <c r="AB56" s="103"/>
      <c r="AC56" s="103"/>
      <c r="AD56" s="103"/>
      <c r="AE56" s="103"/>
      <c r="AF56" s="103"/>
      <c r="AG56" s="103"/>
      <c r="AH56" s="103"/>
      <c r="AI56" s="103"/>
      <c r="AJ56" s="103"/>
      <c r="AK56" s="103"/>
      <c r="AL56" s="103"/>
      <c r="AM56" s="103"/>
      <c r="AN56" s="103"/>
      <c r="AO56" s="103"/>
      <c r="AP56" s="103"/>
      <c r="AQ56" s="103"/>
      <c r="AR56" s="103"/>
      <c r="AS56" s="103"/>
      <c r="AT56" s="103"/>
      <c r="AU56" s="103"/>
      <c r="AV56" s="103"/>
      <c r="AW56" s="103"/>
      <c r="AX56" s="103"/>
      <c r="AY56" s="103"/>
      <c r="AZ56" s="103"/>
      <c r="BA56" s="103"/>
      <c r="BB56" s="103"/>
    </row>
    <row r="57" spans="1:54" ht="40.799999999999997" x14ac:dyDescent="0.3">
      <c r="A57" s="74">
        <v>52</v>
      </c>
      <c r="B57" s="74" t="s">
        <v>34</v>
      </c>
      <c r="C57" s="74" t="s">
        <v>54</v>
      </c>
      <c r="D57" s="75" t="s">
        <v>252</v>
      </c>
      <c r="E57" s="75" t="s">
        <v>445</v>
      </c>
      <c r="F57" s="75" t="s">
        <v>253</v>
      </c>
      <c r="G57" s="74">
        <v>4</v>
      </c>
      <c r="H57" s="74">
        <v>5</v>
      </c>
      <c r="I57" s="119">
        <v>24</v>
      </c>
      <c r="J57" s="71" t="s">
        <v>204</v>
      </c>
      <c r="K57" s="74">
        <v>4</v>
      </c>
      <c r="L57" s="74">
        <v>5</v>
      </c>
      <c r="M57" s="119">
        <v>24</v>
      </c>
      <c r="N57" s="71" t="s">
        <v>254</v>
      </c>
      <c r="O57" s="116" t="s">
        <v>439</v>
      </c>
      <c r="P57" s="120"/>
      <c r="Q57" s="120"/>
      <c r="R57" s="74">
        <v>3</v>
      </c>
      <c r="S57" s="74">
        <v>2</v>
      </c>
      <c r="T57" s="122">
        <v>6</v>
      </c>
      <c r="U57" s="103"/>
      <c r="V57" s="103"/>
      <c r="W57" s="103"/>
      <c r="X57" s="103"/>
      <c r="Y57" s="103"/>
      <c r="Z57" s="103"/>
      <c r="AA57" s="103"/>
      <c r="AB57" s="103"/>
      <c r="AC57" s="103"/>
      <c r="AD57" s="103"/>
      <c r="AE57" s="103"/>
      <c r="AF57" s="103"/>
      <c r="AG57" s="103"/>
      <c r="AH57" s="103"/>
      <c r="AI57" s="103"/>
      <c r="AJ57" s="103"/>
      <c r="AK57" s="103"/>
      <c r="AL57" s="103"/>
      <c r="AM57" s="103"/>
      <c r="AN57" s="103"/>
      <c r="AO57" s="103"/>
      <c r="AP57" s="103"/>
      <c r="AQ57" s="103"/>
      <c r="AR57" s="103"/>
      <c r="AS57" s="103"/>
      <c r="AT57" s="103"/>
      <c r="AU57" s="103"/>
      <c r="AV57" s="103"/>
      <c r="AW57" s="103"/>
      <c r="AX57" s="103"/>
      <c r="AY57" s="103"/>
      <c r="AZ57" s="103"/>
      <c r="BA57" s="103"/>
      <c r="BB57" s="103"/>
    </row>
    <row r="58" spans="1:54" ht="40.799999999999997" x14ac:dyDescent="0.3">
      <c r="A58" s="74">
        <v>53</v>
      </c>
      <c r="B58" s="74" t="s">
        <v>34</v>
      </c>
      <c r="C58" s="74" t="s">
        <v>54</v>
      </c>
      <c r="D58" s="75" t="s">
        <v>255</v>
      </c>
      <c r="E58" s="75" t="s">
        <v>445</v>
      </c>
      <c r="F58" s="75" t="s">
        <v>256</v>
      </c>
      <c r="G58" s="74">
        <v>4</v>
      </c>
      <c r="H58" s="74">
        <v>4</v>
      </c>
      <c r="I58" s="114">
        <v>21</v>
      </c>
      <c r="J58" s="71" t="s">
        <v>257</v>
      </c>
      <c r="K58" s="74">
        <v>3</v>
      </c>
      <c r="L58" s="74">
        <v>3</v>
      </c>
      <c r="M58" s="121">
        <v>12</v>
      </c>
      <c r="N58" s="71" t="s">
        <v>258</v>
      </c>
      <c r="O58" s="116" t="s">
        <v>439</v>
      </c>
      <c r="P58" s="120"/>
      <c r="Q58" s="120"/>
      <c r="R58" s="74">
        <v>2</v>
      </c>
      <c r="S58" s="74">
        <v>2</v>
      </c>
      <c r="T58" s="122">
        <v>5</v>
      </c>
      <c r="U58" s="103"/>
      <c r="V58" s="103"/>
      <c r="W58" s="103"/>
      <c r="X58" s="103"/>
      <c r="Y58" s="103"/>
      <c r="Z58" s="103"/>
      <c r="AA58" s="103"/>
      <c r="AB58" s="103"/>
      <c r="AC58" s="103"/>
      <c r="AD58" s="103"/>
      <c r="AE58" s="103"/>
      <c r="AF58" s="103"/>
      <c r="AG58" s="103"/>
      <c r="AH58" s="103"/>
      <c r="AI58" s="103"/>
      <c r="AJ58" s="103"/>
      <c r="AK58" s="103"/>
      <c r="AL58" s="103"/>
      <c r="AM58" s="103"/>
      <c r="AN58" s="103"/>
      <c r="AO58" s="103"/>
      <c r="AP58" s="103"/>
      <c r="AQ58" s="103"/>
      <c r="AR58" s="103"/>
      <c r="AS58" s="103"/>
      <c r="AT58" s="103"/>
      <c r="AU58" s="103"/>
      <c r="AV58" s="103"/>
      <c r="AW58" s="103"/>
      <c r="AX58" s="103"/>
      <c r="AY58" s="103"/>
      <c r="AZ58" s="103"/>
      <c r="BA58" s="103"/>
      <c r="BB58" s="103"/>
    </row>
    <row r="59" spans="1:54" ht="81.599999999999994" x14ac:dyDescent="0.3">
      <c r="A59" s="74">
        <v>54</v>
      </c>
      <c r="B59" s="74" t="s">
        <v>34</v>
      </c>
      <c r="C59" s="74" t="s">
        <v>54</v>
      </c>
      <c r="D59" s="75" t="s">
        <v>259</v>
      </c>
      <c r="E59" s="75" t="s">
        <v>445</v>
      </c>
      <c r="F59" s="75" t="s">
        <v>80</v>
      </c>
      <c r="G59" s="74">
        <v>4</v>
      </c>
      <c r="H59" s="74">
        <v>4</v>
      </c>
      <c r="I59" s="114">
        <v>21</v>
      </c>
      <c r="J59" s="71" t="s">
        <v>260</v>
      </c>
      <c r="K59" s="74">
        <v>3</v>
      </c>
      <c r="L59" s="74">
        <v>3</v>
      </c>
      <c r="M59" s="121">
        <v>12</v>
      </c>
      <c r="N59" s="71" t="s">
        <v>261</v>
      </c>
      <c r="O59" s="116" t="s">
        <v>439</v>
      </c>
      <c r="P59" s="120"/>
      <c r="Q59" s="117"/>
      <c r="R59" s="74">
        <v>2</v>
      </c>
      <c r="S59" s="74">
        <v>2</v>
      </c>
      <c r="T59" s="122">
        <v>5</v>
      </c>
      <c r="U59" s="103"/>
      <c r="V59" s="103"/>
      <c r="W59" s="103"/>
      <c r="X59" s="103"/>
      <c r="Y59" s="103"/>
      <c r="Z59" s="103"/>
      <c r="AA59" s="103"/>
      <c r="AB59" s="103"/>
      <c r="AC59" s="103"/>
      <c r="AD59" s="103"/>
      <c r="AE59" s="103"/>
      <c r="AF59" s="103"/>
      <c r="AG59" s="103"/>
      <c r="AH59" s="103"/>
      <c r="AI59" s="103"/>
      <c r="AJ59" s="103"/>
      <c r="AK59" s="103"/>
      <c r="AL59" s="103"/>
      <c r="AM59" s="103"/>
      <c r="AN59" s="103"/>
      <c r="AO59" s="103"/>
      <c r="AP59" s="103"/>
      <c r="AQ59" s="103"/>
      <c r="AR59" s="103"/>
      <c r="AS59" s="103"/>
      <c r="AT59" s="103"/>
      <c r="AU59" s="103"/>
      <c r="AV59" s="103"/>
      <c r="AW59" s="103"/>
      <c r="AX59" s="103"/>
      <c r="AY59" s="103"/>
      <c r="AZ59" s="103"/>
      <c r="BA59" s="103"/>
      <c r="BB59" s="103"/>
    </row>
    <row r="60" spans="1:54" ht="40.799999999999997" x14ac:dyDescent="0.3">
      <c r="A60" s="74">
        <v>55</v>
      </c>
      <c r="B60" s="74" t="s">
        <v>34</v>
      </c>
      <c r="C60" s="74" t="s">
        <v>54</v>
      </c>
      <c r="D60" s="75" t="s">
        <v>262</v>
      </c>
      <c r="E60" s="75" t="s">
        <v>445</v>
      </c>
      <c r="F60" s="75" t="s">
        <v>263</v>
      </c>
      <c r="G60" s="74">
        <v>4</v>
      </c>
      <c r="H60" s="74">
        <v>5</v>
      </c>
      <c r="I60" s="119">
        <v>24</v>
      </c>
      <c r="J60" s="71" t="s">
        <v>264</v>
      </c>
      <c r="K60" s="74">
        <v>3</v>
      </c>
      <c r="L60" s="74">
        <v>4</v>
      </c>
      <c r="M60" s="125">
        <v>17</v>
      </c>
      <c r="N60" s="124" t="s">
        <v>265</v>
      </c>
      <c r="O60" s="116" t="s">
        <v>439</v>
      </c>
      <c r="P60" s="120"/>
      <c r="Q60" s="120"/>
      <c r="R60" s="74">
        <v>2</v>
      </c>
      <c r="S60" s="74">
        <v>3</v>
      </c>
      <c r="T60" s="121">
        <v>11</v>
      </c>
      <c r="U60" s="103"/>
      <c r="V60" s="103"/>
      <c r="W60" s="103"/>
      <c r="X60" s="103"/>
      <c r="Y60" s="103"/>
      <c r="Z60" s="103"/>
      <c r="AA60" s="103"/>
      <c r="AB60" s="103"/>
      <c r="AC60" s="103"/>
      <c r="AD60" s="103"/>
      <c r="AE60" s="103"/>
      <c r="AF60" s="103"/>
      <c r="AG60" s="103"/>
      <c r="AH60" s="103"/>
      <c r="AI60" s="103"/>
      <c r="AJ60" s="103"/>
      <c r="AK60" s="103"/>
      <c r="AL60" s="103"/>
      <c r="AM60" s="103"/>
      <c r="AN60" s="103"/>
      <c r="AO60" s="103"/>
      <c r="AP60" s="103"/>
      <c r="AQ60" s="103"/>
      <c r="AR60" s="103"/>
      <c r="AS60" s="103"/>
      <c r="AT60" s="103"/>
      <c r="AU60" s="103"/>
      <c r="AV60" s="103"/>
      <c r="AW60" s="103"/>
      <c r="AX60" s="103"/>
      <c r="AY60" s="103"/>
      <c r="AZ60" s="103"/>
      <c r="BA60" s="103"/>
      <c r="BB60" s="103"/>
    </row>
    <row r="61" spans="1:54" ht="84" x14ac:dyDescent="0.3">
      <c r="A61" s="74">
        <v>56</v>
      </c>
      <c r="B61" s="127" t="s">
        <v>34</v>
      </c>
      <c r="C61" s="127" t="s">
        <v>54</v>
      </c>
      <c r="D61" s="128" t="s">
        <v>266</v>
      </c>
      <c r="E61" s="75" t="s">
        <v>445</v>
      </c>
      <c r="F61" s="129" t="s">
        <v>81</v>
      </c>
      <c r="G61" s="130">
        <v>4</v>
      </c>
      <c r="H61" s="130">
        <v>4</v>
      </c>
      <c r="I61" s="131">
        <v>21</v>
      </c>
      <c r="J61" s="129" t="s">
        <v>264</v>
      </c>
      <c r="K61" s="130">
        <v>3</v>
      </c>
      <c r="L61" s="130">
        <v>3</v>
      </c>
      <c r="M61" s="134">
        <v>12</v>
      </c>
      <c r="N61" s="129" t="s">
        <v>267</v>
      </c>
      <c r="O61" s="116" t="s">
        <v>439</v>
      </c>
      <c r="P61" s="130"/>
      <c r="Q61" s="130"/>
      <c r="R61" s="130">
        <v>2</v>
      </c>
      <c r="S61" s="130">
        <v>2</v>
      </c>
      <c r="T61" s="135">
        <v>5</v>
      </c>
    </row>
    <row r="62" spans="1:54" ht="42" x14ac:dyDescent="0.3">
      <c r="A62" s="74">
        <v>57</v>
      </c>
      <c r="B62" s="127" t="s">
        <v>34</v>
      </c>
      <c r="C62" s="127" t="s">
        <v>54</v>
      </c>
      <c r="D62" s="128" t="s">
        <v>268</v>
      </c>
      <c r="E62" s="75" t="s">
        <v>445</v>
      </c>
      <c r="F62" s="129" t="s">
        <v>269</v>
      </c>
      <c r="G62" s="130">
        <v>4</v>
      </c>
      <c r="H62" s="130">
        <v>4</v>
      </c>
      <c r="I62" s="131">
        <v>21</v>
      </c>
      <c r="J62" s="129" t="s">
        <v>270</v>
      </c>
      <c r="K62" s="130">
        <v>3</v>
      </c>
      <c r="L62" s="130">
        <v>3</v>
      </c>
      <c r="M62" s="134">
        <v>12</v>
      </c>
      <c r="N62" s="129" t="s">
        <v>271</v>
      </c>
      <c r="O62" s="116" t="s">
        <v>439</v>
      </c>
      <c r="P62" s="130"/>
      <c r="Q62" s="130"/>
      <c r="R62" s="130">
        <v>2</v>
      </c>
      <c r="S62" s="130">
        <v>2</v>
      </c>
      <c r="T62" s="135">
        <v>5</v>
      </c>
    </row>
    <row r="63" spans="1:54" ht="42" x14ac:dyDescent="0.3">
      <c r="A63" s="74">
        <v>58</v>
      </c>
      <c r="B63" s="127" t="s">
        <v>34</v>
      </c>
      <c r="C63" s="127" t="s">
        <v>54</v>
      </c>
      <c r="D63" s="128" t="s">
        <v>87</v>
      </c>
      <c r="E63" s="75" t="s">
        <v>445</v>
      </c>
      <c r="F63" s="129" t="s">
        <v>272</v>
      </c>
      <c r="G63" s="130">
        <v>4</v>
      </c>
      <c r="H63" s="130">
        <v>5</v>
      </c>
      <c r="I63" s="132">
        <v>24</v>
      </c>
      <c r="J63" s="129" t="s">
        <v>273</v>
      </c>
      <c r="K63" s="130">
        <v>3</v>
      </c>
      <c r="L63" s="130">
        <v>4</v>
      </c>
      <c r="M63" s="133">
        <v>17</v>
      </c>
      <c r="N63" s="129" t="s">
        <v>274</v>
      </c>
      <c r="O63" s="116" t="s">
        <v>439</v>
      </c>
      <c r="P63" s="130"/>
      <c r="Q63" s="130"/>
      <c r="R63" s="130">
        <v>2</v>
      </c>
      <c r="S63" s="130">
        <v>3</v>
      </c>
      <c r="T63" s="134">
        <v>11</v>
      </c>
    </row>
    <row r="64" spans="1:54" ht="84" x14ac:dyDescent="0.3">
      <c r="A64" s="74">
        <v>59</v>
      </c>
      <c r="B64" s="127" t="s">
        <v>34</v>
      </c>
      <c r="C64" s="127" t="s">
        <v>54</v>
      </c>
      <c r="D64" s="128" t="s">
        <v>275</v>
      </c>
      <c r="E64" s="75" t="s">
        <v>445</v>
      </c>
      <c r="F64" s="129" t="s">
        <v>276</v>
      </c>
      <c r="G64" s="130">
        <v>3</v>
      </c>
      <c r="H64" s="130">
        <v>4</v>
      </c>
      <c r="I64" s="133">
        <v>17</v>
      </c>
      <c r="J64" s="129" t="s">
        <v>277</v>
      </c>
      <c r="K64" s="130">
        <v>2</v>
      </c>
      <c r="L64" s="130">
        <v>3</v>
      </c>
      <c r="M64" s="134">
        <v>11</v>
      </c>
      <c r="N64" s="129" t="s">
        <v>278</v>
      </c>
      <c r="O64" s="116" t="s">
        <v>439</v>
      </c>
      <c r="P64" s="130"/>
      <c r="Q64" s="130"/>
      <c r="R64" s="130">
        <v>1</v>
      </c>
      <c r="S64" s="130">
        <v>2</v>
      </c>
      <c r="T64" s="136">
        <v>3</v>
      </c>
    </row>
    <row r="65" spans="1:20" ht="42" x14ac:dyDescent="0.3">
      <c r="A65" s="74">
        <v>60</v>
      </c>
      <c r="B65" s="127" t="s">
        <v>34</v>
      </c>
      <c r="C65" s="127" t="s">
        <v>54</v>
      </c>
      <c r="D65" s="128" t="s">
        <v>279</v>
      </c>
      <c r="E65" s="75" t="s">
        <v>445</v>
      </c>
      <c r="F65" s="129" t="s">
        <v>280</v>
      </c>
      <c r="G65" s="130">
        <v>4</v>
      </c>
      <c r="H65" s="130">
        <v>4</v>
      </c>
      <c r="I65" s="131">
        <v>21</v>
      </c>
      <c r="J65" s="129" t="s">
        <v>204</v>
      </c>
      <c r="K65" s="130">
        <v>4</v>
      </c>
      <c r="L65" s="130">
        <v>4</v>
      </c>
      <c r="M65" s="131">
        <v>21</v>
      </c>
      <c r="N65" s="129" t="s">
        <v>281</v>
      </c>
      <c r="O65" s="116" t="s">
        <v>439</v>
      </c>
      <c r="P65" s="130"/>
      <c r="Q65" s="130"/>
      <c r="R65" s="130">
        <v>3</v>
      </c>
      <c r="S65" s="130">
        <v>2</v>
      </c>
      <c r="T65" s="135">
        <v>6</v>
      </c>
    </row>
    <row r="66" spans="1:20" ht="63" x14ac:dyDescent="0.3">
      <c r="A66" s="74">
        <v>61</v>
      </c>
      <c r="B66" s="127" t="s">
        <v>34</v>
      </c>
      <c r="C66" s="127" t="s">
        <v>54</v>
      </c>
      <c r="D66" s="128" t="s">
        <v>282</v>
      </c>
      <c r="E66" s="75" t="s">
        <v>445</v>
      </c>
      <c r="F66" s="129" t="s">
        <v>283</v>
      </c>
      <c r="G66" s="130">
        <v>4</v>
      </c>
      <c r="H66" s="130">
        <v>5</v>
      </c>
      <c r="I66" s="132">
        <v>24</v>
      </c>
      <c r="J66" s="129" t="s">
        <v>284</v>
      </c>
      <c r="K66" s="130">
        <v>3</v>
      </c>
      <c r="L66" s="130">
        <v>4</v>
      </c>
      <c r="M66" s="133">
        <v>17</v>
      </c>
      <c r="N66" s="129" t="s">
        <v>285</v>
      </c>
      <c r="O66" s="116" t="s">
        <v>439</v>
      </c>
      <c r="P66" s="130"/>
      <c r="Q66" s="130"/>
      <c r="R66" s="130">
        <v>3</v>
      </c>
      <c r="S66" s="130">
        <v>3</v>
      </c>
      <c r="T66" s="134">
        <v>12</v>
      </c>
    </row>
    <row r="67" spans="1:20" ht="42" x14ac:dyDescent="0.3">
      <c r="A67" s="74">
        <v>62</v>
      </c>
      <c r="B67" s="127" t="s">
        <v>34</v>
      </c>
      <c r="C67" s="127" t="s">
        <v>54</v>
      </c>
      <c r="D67" s="128" t="s">
        <v>286</v>
      </c>
      <c r="E67" s="75" t="s">
        <v>445</v>
      </c>
      <c r="F67" s="129" t="s">
        <v>287</v>
      </c>
      <c r="G67" s="130">
        <v>3</v>
      </c>
      <c r="H67" s="130">
        <v>3</v>
      </c>
      <c r="I67" s="134">
        <v>12</v>
      </c>
      <c r="J67" s="129" t="s">
        <v>288</v>
      </c>
      <c r="K67" s="130">
        <v>2</v>
      </c>
      <c r="L67" s="130">
        <v>2</v>
      </c>
      <c r="M67" s="135">
        <v>5</v>
      </c>
      <c r="N67" s="129" t="s">
        <v>289</v>
      </c>
      <c r="O67" s="116" t="s">
        <v>439</v>
      </c>
      <c r="P67" s="130"/>
      <c r="Q67" s="130"/>
      <c r="R67" s="130">
        <v>2</v>
      </c>
      <c r="S67" s="130">
        <v>1</v>
      </c>
      <c r="T67" s="136">
        <v>2</v>
      </c>
    </row>
    <row r="68" spans="1:20" x14ac:dyDescent="0.3">
      <c r="A68" s="74">
        <v>63</v>
      </c>
      <c r="B68" s="127" t="s">
        <v>34</v>
      </c>
      <c r="C68" s="127" t="s">
        <v>54</v>
      </c>
      <c r="D68" s="128" t="s">
        <v>290</v>
      </c>
      <c r="E68" s="75" t="s">
        <v>445</v>
      </c>
      <c r="F68" s="129"/>
      <c r="G68" s="130">
        <v>5</v>
      </c>
      <c r="H68" s="130">
        <v>5</v>
      </c>
      <c r="I68" s="132">
        <v>25</v>
      </c>
      <c r="J68" s="129" t="s">
        <v>291</v>
      </c>
      <c r="K68" s="130">
        <v>4</v>
      </c>
      <c r="L68" s="130">
        <v>4</v>
      </c>
      <c r="M68" s="131">
        <v>21</v>
      </c>
      <c r="N68" s="129" t="s">
        <v>292</v>
      </c>
      <c r="O68" s="116" t="s">
        <v>439</v>
      </c>
      <c r="P68" s="130"/>
      <c r="Q68" s="130"/>
      <c r="R68" s="130">
        <v>3</v>
      </c>
      <c r="S68" s="130">
        <v>2</v>
      </c>
      <c r="T68" s="135">
        <v>6</v>
      </c>
    </row>
    <row r="69" spans="1:20" x14ac:dyDescent="0.3">
      <c r="A69" s="74">
        <v>64</v>
      </c>
      <c r="B69" s="127" t="s">
        <v>34</v>
      </c>
      <c r="C69" s="127" t="s">
        <v>54</v>
      </c>
      <c r="D69" s="128" t="s">
        <v>293</v>
      </c>
      <c r="E69" s="75" t="s">
        <v>445</v>
      </c>
      <c r="F69" s="129" t="s">
        <v>294</v>
      </c>
      <c r="G69" s="130">
        <v>4</v>
      </c>
      <c r="H69" s="130">
        <v>5</v>
      </c>
      <c r="I69" s="132">
        <v>24</v>
      </c>
      <c r="J69" s="129" t="s">
        <v>303</v>
      </c>
      <c r="K69" s="130">
        <v>3</v>
      </c>
      <c r="L69" s="130">
        <v>4</v>
      </c>
      <c r="M69" s="133">
        <v>17</v>
      </c>
      <c r="N69" s="129" t="s">
        <v>292</v>
      </c>
      <c r="O69" s="116" t="s">
        <v>439</v>
      </c>
      <c r="P69" s="130"/>
      <c r="Q69" s="130"/>
      <c r="R69" s="130">
        <v>2</v>
      </c>
      <c r="S69" s="130">
        <v>3</v>
      </c>
      <c r="T69" s="134">
        <v>11</v>
      </c>
    </row>
    <row r="70" spans="1:20" ht="147" x14ac:dyDescent="0.3">
      <c r="A70" s="74">
        <v>65</v>
      </c>
      <c r="B70" s="127" t="s">
        <v>34</v>
      </c>
      <c r="C70" s="127" t="s">
        <v>54</v>
      </c>
      <c r="D70" s="128" t="s">
        <v>295</v>
      </c>
      <c r="E70" s="75" t="s">
        <v>445</v>
      </c>
      <c r="F70" s="129" t="s">
        <v>296</v>
      </c>
      <c r="G70" s="130">
        <v>5</v>
      </c>
      <c r="H70" s="130">
        <v>5</v>
      </c>
      <c r="I70" s="132">
        <v>25</v>
      </c>
      <c r="J70" s="129" t="s">
        <v>304</v>
      </c>
      <c r="K70" s="130">
        <v>4</v>
      </c>
      <c r="L70" s="130">
        <v>4</v>
      </c>
      <c r="M70" s="131">
        <v>21</v>
      </c>
      <c r="N70" s="129" t="s">
        <v>305</v>
      </c>
      <c r="O70" s="116" t="s">
        <v>439</v>
      </c>
      <c r="P70" s="130"/>
      <c r="Q70" s="130"/>
      <c r="R70" s="130">
        <v>3</v>
      </c>
      <c r="S70" s="130">
        <v>2</v>
      </c>
      <c r="T70" s="135">
        <v>6</v>
      </c>
    </row>
    <row r="71" spans="1:20" ht="84" x14ac:dyDescent="0.3">
      <c r="A71" s="74">
        <v>66</v>
      </c>
      <c r="B71" s="127" t="s">
        <v>34</v>
      </c>
      <c r="C71" s="127" t="s">
        <v>54</v>
      </c>
      <c r="D71" s="128" t="s">
        <v>297</v>
      </c>
      <c r="E71" s="75" t="s">
        <v>445</v>
      </c>
      <c r="F71" s="129" t="s">
        <v>203</v>
      </c>
      <c r="G71" s="130">
        <v>5</v>
      </c>
      <c r="H71" s="130">
        <v>5</v>
      </c>
      <c r="I71" s="132">
        <v>25</v>
      </c>
      <c r="J71" s="129" t="s">
        <v>306</v>
      </c>
      <c r="K71" s="130">
        <v>4</v>
      </c>
      <c r="L71" s="130">
        <v>4</v>
      </c>
      <c r="M71" s="131">
        <v>21</v>
      </c>
      <c r="N71" s="129" t="s">
        <v>278</v>
      </c>
      <c r="O71" s="116" t="s">
        <v>439</v>
      </c>
      <c r="P71" s="130"/>
      <c r="Q71" s="130"/>
      <c r="R71" s="130">
        <v>3</v>
      </c>
      <c r="S71" s="130">
        <v>2</v>
      </c>
      <c r="T71" s="135">
        <v>6</v>
      </c>
    </row>
    <row r="72" spans="1:20" ht="42" x14ac:dyDescent="0.3">
      <c r="A72" s="74">
        <v>67</v>
      </c>
      <c r="B72" s="127" t="s">
        <v>34</v>
      </c>
      <c r="C72" s="127" t="s">
        <v>54</v>
      </c>
      <c r="D72" s="128" t="s">
        <v>298</v>
      </c>
      <c r="E72" s="75" t="s">
        <v>445</v>
      </c>
      <c r="F72" s="129" t="s">
        <v>299</v>
      </c>
      <c r="G72" s="130">
        <v>4</v>
      </c>
      <c r="H72" s="130">
        <v>4</v>
      </c>
      <c r="I72" s="131">
        <v>21</v>
      </c>
      <c r="J72" s="129" t="s">
        <v>204</v>
      </c>
      <c r="K72" s="130">
        <v>4</v>
      </c>
      <c r="L72" s="130">
        <v>4</v>
      </c>
      <c r="M72" s="131">
        <v>21</v>
      </c>
      <c r="N72" s="129" t="s">
        <v>307</v>
      </c>
      <c r="O72" s="116" t="s">
        <v>439</v>
      </c>
      <c r="P72" s="130"/>
      <c r="Q72" s="130"/>
      <c r="R72" s="130">
        <v>3</v>
      </c>
      <c r="S72" s="130">
        <v>2</v>
      </c>
      <c r="T72" s="135">
        <v>6</v>
      </c>
    </row>
    <row r="73" spans="1:20" ht="63" x14ac:dyDescent="0.3">
      <c r="A73" s="74">
        <v>68</v>
      </c>
      <c r="B73" s="127" t="s">
        <v>34</v>
      </c>
      <c r="C73" s="127" t="s">
        <v>54</v>
      </c>
      <c r="D73" s="128" t="s">
        <v>300</v>
      </c>
      <c r="E73" s="75" t="s">
        <v>445</v>
      </c>
      <c r="F73" s="129" t="s">
        <v>301</v>
      </c>
      <c r="G73" s="130">
        <v>3</v>
      </c>
      <c r="H73" s="130">
        <v>5</v>
      </c>
      <c r="I73" s="132">
        <v>23</v>
      </c>
      <c r="J73" s="129" t="s">
        <v>204</v>
      </c>
      <c r="K73" s="130">
        <v>3</v>
      </c>
      <c r="L73" s="130">
        <v>5</v>
      </c>
      <c r="M73" s="132">
        <v>23</v>
      </c>
      <c r="N73" s="129" t="s">
        <v>308</v>
      </c>
      <c r="O73" s="116" t="s">
        <v>439</v>
      </c>
      <c r="P73" s="130"/>
      <c r="Q73" s="130"/>
      <c r="R73" s="130">
        <v>2</v>
      </c>
      <c r="S73" s="130">
        <v>2</v>
      </c>
      <c r="T73" s="135">
        <v>5</v>
      </c>
    </row>
    <row r="74" spans="1:20" ht="84" x14ac:dyDescent="0.3">
      <c r="A74" s="74">
        <v>69</v>
      </c>
      <c r="B74" s="127" t="s">
        <v>34</v>
      </c>
      <c r="C74" s="127" t="s">
        <v>54</v>
      </c>
      <c r="D74" s="128" t="s">
        <v>90</v>
      </c>
      <c r="E74" s="75" t="s">
        <v>445</v>
      </c>
      <c r="F74" s="129" t="s">
        <v>302</v>
      </c>
      <c r="G74" s="130">
        <v>4</v>
      </c>
      <c r="H74" s="130">
        <v>5</v>
      </c>
      <c r="I74" s="132">
        <v>24</v>
      </c>
      <c r="J74" s="129" t="s">
        <v>309</v>
      </c>
      <c r="K74" s="130">
        <v>3</v>
      </c>
      <c r="L74" s="130">
        <v>4</v>
      </c>
      <c r="M74" s="133">
        <v>17</v>
      </c>
      <c r="N74" s="129" t="s">
        <v>310</v>
      </c>
      <c r="O74" s="116" t="s">
        <v>439</v>
      </c>
      <c r="P74" s="130"/>
      <c r="Q74" s="130"/>
      <c r="R74" s="130">
        <v>2</v>
      </c>
      <c r="S74" s="130">
        <v>3</v>
      </c>
      <c r="T74" s="134">
        <v>11</v>
      </c>
    </row>
    <row r="75" spans="1:20" ht="63" x14ac:dyDescent="0.3">
      <c r="A75" s="74">
        <v>70</v>
      </c>
      <c r="B75" s="127" t="s">
        <v>34</v>
      </c>
      <c r="C75" s="127" t="s">
        <v>55</v>
      </c>
      <c r="D75" s="128" t="s">
        <v>311</v>
      </c>
      <c r="E75" s="129" t="s">
        <v>462</v>
      </c>
      <c r="F75" s="129" t="s">
        <v>463</v>
      </c>
      <c r="G75" s="130">
        <v>5</v>
      </c>
      <c r="H75" s="130">
        <v>4</v>
      </c>
      <c r="I75" s="132">
        <v>22</v>
      </c>
      <c r="J75" s="129" t="s">
        <v>489</v>
      </c>
      <c r="K75" s="130">
        <v>4</v>
      </c>
      <c r="L75" s="130">
        <v>3</v>
      </c>
      <c r="M75" s="133">
        <v>16</v>
      </c>
      <c r="N75" s="129" t="s">
        <v>490</v>
      </c>
      <c r="O75" s="116" t="s">
        <v>485</v>
      </c>
      <c r="P75" s="150">
        <v>42885</v>
      </c>
      <c r="Q75" s="130" t="s">
        <v>487</v>
      </c>
      <c r="R75" s="130">
        <v>3</v>
      </c>
      <c r="S75" s="130">
        <v>2</v>
      </c>
      <c r="T75" s="135">
        <v>6</v>
      </c>
    </row>
    <row r="76" spans="1:20" ht="63" x14ac:dyDescent="0.3">
      <c r="A76" s="74">
        <v>71</v>
      </c>
      <c r="B76" s="127" t="s">
        <v>34</v>
      </c>
      <c r="C76" s="127" t="s">
        <v>55</v>
      </c>
      <c r="D76" s="128" t="s">
        <v>313</v>
      </c>
      <c r="E76" s="129" t="s">
        <v>464</v>
      </c>
      <c r="F76" s="129" t="s">
        <v>314</v>
      </c>
      <c r="G76" s="130">
        <v>3</v>
      </c>
      <c r="H76" s="130">
        <v>3</v>
      </c>
      <c r="I76" s="134">
        <v>12</v>
      </c>
      <c r="J76" s="129" t="s">
        <v>465</v>
      </c>
      <c r="K76" s="130">
        <v>3</v>
      </c>
      <c r="L76" s="130">
        <v>3</v>
      </c>
      <c r="M76" s="134">
        <v>12</v>
      </c>
      <c r="N76" s="129" t="s">
        <v>315</v>
      </c>
      <c r="O76" s="116" t="s">
        <v>439</v>
      </c>
      <c r="P76" s="130"/>
      <c r="Q76" s="130" t="s">
        <v>488</v>
      </c>
      <c r="R76" s="130">
        <v>2</v>
      </c>
      <c r="S76" s="130">
        <v>2</v>
      </c>
      <c r="T76" s="135">
        <v>5</v>
      </c>
    </row>
    <row r="77" spans="1:20" ht="42" x14ac:dyDescent="0.3">
      <c r="A77" s="74">
        <v>72</v>
      </c>
      <c r="B77" s="127" t="s">
        <v>34</v>
      </c>
      <c r="C77" s="127" t="s">
        <v>55</v>
      </c>
      <c r="D77" s="128" t="s">
        <v>316</v>
      </c>
      <c r="E77" s="129" t="s">
        <v>466</v>
      </c>
      <c r="F77" s="129" t="s">
        <v>467</v>
      </c>
      <c r="G77" s="130">
        <v>5</v>
      </c>
      <c r="H77" s="130">
        <v>5</v>
      </c>
      <c r="I77" s="132">
        <v>25</v>
      </c>
      <c r="J77" s="129" t="s">
        <v>468</v>
      </c>
      <c r="K77" s="130">
        <v>4</v>
      </c>
      <c r="L77" s="130">
        <v>3</v>
      </c>
      <c r="M77" s="133">
        <v>16</v>
      </c>
      <c r="N77" s="129" t="s">
        <v>112</v>
      </c>
      <c r="O77" s="116" t="s">
        <v>439</v>
      </c>
      <c r="P77" s="130"/>
      <c r="Q77" s="130" t="s">
        <v>74</v>
      </c>
      <c r="R77" s="130">
        <v>3</v>
      </c>
      <c r="S77" s="130">
        <v>2</v>
      </c>
      <c r="T77" s="135">
        <v>6</v>
      </c>
    </row>
    <row r="78" spans="1:20" ht="42" x14ac:dyDescent="0.3">
      <c r="A78" s="74">
        <v>73</v>
      </c>
      <c r="B78" s="127" t="s">
        <v>34</v>
      </c>
      <c r="C78" s="127" t="s">
        <v>55</v>
      </c>
      <c r="D78" s="128" t="s">
        <v>317</v>
      </c>
      <c r="E78" s="129" t="s">
        <v>466</v>
      </c>
      <c r="F78" s="129" t="s">
        <v>318</v>
      </c>
      <c r="G78" s="130">
        <v>3</v>
      </c>
      <c r="H78" s="130">
        <v>3</v>
      </c>
      <c r="I78" s="134">
        <v>12</v>
      </c>
      <c r="J78" s="129" t="s">
        <v>445</v>
      </c>
      <c r="K78" s="130">
        <v>3</v>
      </c>
      <c r="L78" s="130">
        <v>3</v>
      </c>
      <c r="M78" s="134">
        <v>12</v>
      </c>
      <c r="N78" s="129" t="s">
        <v>445</v>
      </c>
      <c r="O78" s="116" t="s">
        <v>439</v>
      </c>
      <c r="P78" s="130"/>
      <c r="Q78" s="130"/>
      <c r="R78" s="130">
        <v>2</v>
      </c>
      <c r="S78" s="130">
        <v>2</v>
      </c>
      <c r="T78" s="135">
        <v>5</v>
      </c>
    </row>
    <row r="79" spans="1:20" x14ac:dyDescent="0.3">
      <c r="A79" s="74">
        <v>74</v>
      </c>
      <c r="B79" s="127" t="s">
        <v>34</v>
      </c>
      <c r="C79" s="127" t="s">
        <v>55</v>
      </c>
      <c r="D79" s="128" t="s">
        <v>319</v>
      </c>
      <c r="E79" s="129" t="s">
        <v>469</v>
      </c>
      <c r="F79" s="129" t="s">
        <v>320</v>
      </c>
      <c r="G79" s="130">
        <v>4</v>
      </c>
      <c r="H79" s="130">
        <v>5</v>
      </c>
      <c r="I79" s="132">
        <v>24</v>
      </c>
      <c r="J79" s="129" t="s">
        <v>312</v>
      </c>
      <c r="K79" s="130">
        <v>3</v>
      </c>
      <c r="L79" s="130">
        <v>4</v>
      </c>
      <c r="M79" s="133">
        <v>17</v>
      </c>
      <c r="N79" s="129" t="s">
        <v>324</v>
      </c>
      <c r="O79" s="116" t="s">
        <v>439</v>
      </c>
      <c r="P79" s="130"/>
      <c r="Q79" s="130"/>
      <c r="R79" s="130">
        <v>2</v>
      </c>
      <c r="S79" s="130">
        <v>3</v>
      </c>
      <c r="T79" s="134">
        <v>11</v>
      </c>
    </row>
    <row r="80" spans="1:20" ht="42" x14ac:dyDescent="0.3">
      <c r="A80" s="74">
        <v>75</v>
      </c>
      <c r="B80" s="127" t="s">
        <v>34</v>
      </c>
      <c r="C80" s="127" t="s">
        <v>55</v>
      </c>
      <c r="D80" s="128" t="s">
        <v>321</v>
      </c>
      <c r="E80" s="129" t="s">
        <v>470</v>
      </c>
      <c r="F80" s="129" t="s">
        <v>471</v>
      </c>
      <c r="G80" s="130">
        <v>4</v>
      </c>
      <c r="H80" s="130">
        <v>5</v>
      </c>
      <c r="I80" s="132">
        <v>24</v>
      </c>
      <c r="J80" s="129" t="s">
        <v>472</v>
      </c>
      <c r="K80" s="130">
        <v>3</v>
      </c>
      <c r="L80" s="130">
        <v>4</v>
      </c>
      <c r="M80" s="133">
        <v>17</v>
      </c>
      <c r="N80" s="129" t="str">
        <f>J80</f>
        <v>Pre-qualification and bid docs have been written and the procurement strategy has been specified</v>
      </c>
      <c r="O80" s="116" t="s">
        <v>507</v>
      </c>
      <c r="P80" s="130"/>
      <c r="Q80" s="130" t="s">
        <v>74</v>
      </c>
      <c r="R80" s="130">
        <v>2</v>
      </c>
      <c r="S80" s="130">
        <v>3</v>
      </c>
      <c r="T80" s="134">
        <v>11</v>
      </c>
    </row>
    <row r="81" spans="1:20" ht="42" x14ac:dyDescent="0.3">
      <c r="A81" s="74">
        <v>76</v>
      </c>
      <c r="B81" s="127" t="s">
        <v>34</v>
      </c>
      <c r="C81" s="127" t="s">
        <v>55</v>
      </c>
      <c r="D81" s="128" t="s">
        <v>82</v>
      </c>
      <c r="E81" s="129" t="s">
        <v>473</v>
      </c>
      <c r="F81" s="129" t="s">
        <v>83</v>
      </c>
      <c r="G81" s="130">
        <v>5</v>
      </c>
      <c r="H81" s="130">
        <v>5</v>
      </c>
      <c r="I81" s="132">
        <v>25</v>
      </c>
      <c r="J81" s="129" t="s">
        <v>474</v>
      </c>
      <c r="K81" s="130">
        <v>4</v>
      </c>
      <c r="L81" s="130">
        <v>4</v>
      </c>
      <c r="M81" s="131">
        <v>21</v>
      </c>
      <c r="N81" s="129" t="s">
        <v>325</v>
      </c>
      <c r="O81" s="116" t="s">
        <v>449</v>
      </c>
      <c r="P81" s="130"/>
      <c r="Q81" s="130" t="s">
        <v>508</v>
      </c>
      <c r="R81" s="130">
        <v>3</v>
      </c>
      <c r="S81" s="130">
        <v>2</v>
      </c>
      <c r="T81" s="135">
        <v>6</v>
      </c>
    </row>
    <row r="82" spans="1:20" x14ac:dyDescent="0.3">
      <c r="A82" s="74">
        <v>77</v>
      </c>
      <c r="B82" s="127" t="s">
        <v>34</v>
      </c>
      <c r="C82" s="127" t="s">
        <v>55</v>
      </c>
      <c r="D82" s="128" t="s">
        <v>322</v>
      </c>
      <c r="E82" s="129" t="s">
        <v>475</v>
      </c>
      <c r="F82" s="129" t="s">
        <v>471</v>
      </c>
      <c r="G82" s="130">
        <v>4</v>
      </c>
      <c r="H82" s="130">
        <v>4</v>
      </c>
      <c r="I82" s="131">
        <v>21</v>
      </c>
      <c r="J82" s="129" t="s">
        <v>284</v>
      </c>
      <c r="K82" s="130">
        <v>3</v>
      </c>
      <c r="L82" s="130">
        <v>3</v>
      </c>
      <c r="M82" s="134">
        <v>12</v>
      </c>
      <c r="N82" s="129" t="s">
        <v>112</v>
      </c>
      <c r="O82" s="116" t="s">
        <v>439</v>
      </c>
      <c r="P82" s="130"/>
      <c r="Q82" s="130"/>
      <c r="R82" s="130">
        <v>2</v>
      </c>
      <c r="S82" s="130">
        <v>2</v>
      </c>
      <c r="T82" s="135">
        <v>5</v>
      </c>
    </row>
    <row r="83" spans="1:20" x14ac:dyDescent="0.3">
      <c r="A83" s="74">
        <v>78</v>
      </c>
      <c r="B83" s="127" t="s">
        <v>34</v>
      </c>
      <c r="C83" s="127" t="s">
        <v>55</v>
      </c>
      <c r="D83" s="128" t="s">
        <v>323</v>
      </c>
      <c r="E83" s="129" t="s">
        <v>475</v>
      </c>
      <c r="F83" s="129" t="s">
        <v>471</v>
      </c>
      <c r="G83" s="130">
        <v>4</v>
      </c>
      <c r="H83" s="130">
        <v>4</v>
      </c>
      <c r="I83" s="131">
        <v>21</v>
      </c>
      <c r="J83" s="129" t="s">
        <v>284</v>
      </c>
      <c r="K83" s="130">
        <v>3</v>
      </c>
      <c r="L83" s="130">
        <v>3</v>
      </c>
      <c r="M83" s="134">
        <v>12</v>
      </c>
      <c r="N83" s="129" t="s">
        <v>112</v>
      </c>
      <c r="O83" s="116" t="s">
        <v>439</v>
      </c>
      <c r="P83" s="130"/>
      <c r="Q83" s="130"/>
      <c r="R83" s="130">
        <v>2</v>
      </c>
      <c r="S83" s="130">
        <v>2</v>
      </c>
      <c r="T83" s="135">
        <v>5</v>
      </c>
    </row>
    <row r="84" spans="1:20" ht="63" x14ac:dyDescent="0.3">
      <c r="A84" s="74">
        <v>79</v>
      </c>
      <c r="B84" s="127" t="s">
        <v>57</v>
      </c>
      <c r="C84" s="127" t="s">
        <v>56</v>
      </c>
      <c r="D84" s="128" t="s">
        <v>326</v>
      </c>
      <c r="E84" s="129" t="s">
        <v>486</v>
      </c>
      <c r="F84" s="129" t="s">
        <v>327</v>
      </c>
      <c r="G84" s="130">
        <v>2</v>
      </c>
      <c r="H84" s="130">
        <v>2</v>
      </c>
      <c r="I84" s="135">
        <v>5</v>
      </c>
      <c r="J84" s="129"/>
      <c r="K84" s="130">
        <v>2</v>
      </c>
      <c r="L84" s="130">
        <v>2</v>
      </c>
      <c r="M84" s="135">
        <v>5</v>
      </c>
      <c r="N84" s="129" t="s">
        <v>328</v>
      </c>
      <c r="O84" s="116" t="s">
        <v>439</v>
      </c>
      <c r="P84" s="130"/>
      <c r="Q84" s="130"/>
      <c r="R84" s="130">
        <v>2</v>
      </c>
      <c r="S84" s="130">
        <v>2</v>
      </c>
      <c r="T84" s="135">
        <v>5</v>
      </c>
    </row>
    <row r="85" spans="1:20" ht="89.25" customHeight="1" x14ac:dyDescent="0.3">
      <c r="A85" s="74">
        <v>80</v>
      </c>
      <c r="B85" s="127" t="s">
        <v>57</v>
      </c>
      <c r="C85" s="127" t="s">
        <v>56</v>
      </c>
      <c r="D85" s="128" t="s">
        <v>329</v>
      </c>
      <c r="E85" s="129" t="s">
        <v>491</v>
      </c>
      <c r="F85" s="129" t="s">
        <v>330</v>
      </c>
      <c r="G85" s="130">
        <v>3</v>
      </c>
      <c r="H85" s="130">
        <v>4</v>
      </c>
      <c r="I85" s="133">
        <v>17</v>
      </c>
      <c r="J85" s="129" t="s">
        <v>492</v>
      </c>
      <c r="K85" s="130">
        <v>2</v>
      </c>
      <c r="L85" s="130">
        <v>3</v>
      </c>
      <c r="M85" s="134">
        <v>11</v>
      </c>
      <c r="N85" s="129" t="s">
        <v>490</v>
      </c>
      <c r="O85" s="116" t="s">
        <v>449</v>
      </c>
      <c r="P85" s="130"/>
      <c r="Q85" s="130" t="s">
        <v>74</v>
      </c>
      <c r="R85" s="130">
        <v>1</v>
      </c>
      <c r="S85" s="130">
        <v>1</v>
      </c>
      <c r="T85" s="136">
        <v>1</v>
      </c>
    </row>
    <row r="86" spans="1:20" ht="63" x14ac:dyDescent="0.3">
      <c r="A86" s="74">
        <v>81</v>
      </c>
      <c r="B86" s="127" t="s">
        <v>57</v>
      </c>
      <c r="C86" s="127" t="s">
        <v>56</v>
      </c>
      <c r="D86" s="128" t="s">
        <v>331</v>
      </c>
      <c r="E86" s="129" t="s">
        <v>493</v>
      </c>
      <c r="F86" s="129" t="s">
        <v>332</v>
      </c>
      <c r="G86" s="130">
        <v>4</v>
      </c>
      <c r="H86" s="130">
        <v>4</v>
      </c>
      <c r="I86" s="131">
        <v>21</v>
      </c>
      <c r="J86" s="129" t="s">
        <v>494</v>
      </c>
      <c r="K86" s="130">
        <v>3</v>
      </c>
      <c r="L86" s="130">
        <v>3</v>
      </c>
      <c r="M86" s="134">
        <v>12</v>
      </c>
      <c r="N86" s="129" t="s">
        <v>490</v>
      </c>
      <c r="O86" s="116" t="s">
        <v>449</v>
      </c>
      <c r="P86" s="130">
        <v>2</v>
      </c>
      <c r="Q86" s="130" t="s">
        <v>74</v>
      </c>
      <c r="R86" s="130">
        <v>3</v>
      </c>
      <c r="S86" s="130">
        <v>3</v>
      </c>
      <c r="T86" s="134">
        <v>12</v>
      </c>
    </row>
    <row r="87" spans="1:20" ht="126" x14ac:dyDescent="0.3">
      <c r="A87" s="74">
        <v>82</v>
      </c>
      <c r="B87" s="127" t="s">
        <v>57</v>
      </c>
      <c r="C87" s="127" t="s">
        <v>56</v>
      </c>
      <c r="D87" s="128" t="s">
        <v>333</v>
      </c>
      <c r="E87" s="129" t="s">
        <v>495</v>
      </c>
      <c r="F87" s="129" t="s">
        <v>496</v>
      </c>
      <c r="G87" s="130">
        <v>4</v>
      </c>
      <c r="H87" s="130">
        <v>4</v>
      </c>
      <c r="I87" s="131">
        <v>21</v>
      </c>
      <c r="J87" s="129" t="s">
        <v>497</v>
      </c>
      <c r="K87" s="130">
        <v>2</v>
      </c>
      <c r="L87" s="130">
        <v>3</v>
      </c>
      <c r="M87" s="134">
        <v>11</v>
      </c>
      <c r="N87" s="129" t="s">
        <v>490</v>
      </c>
      <c r="O87" s="116" t="s">
        <v>449</v>
      </c>
      <c r="P87" s="130">
        <v>7</v>
      </c>
      <c r="Q87" s="130" t="s">
        <v>74</v>
      </c>
      <c r="R87" s="130">
        <v>2</v>
      </c>
      <c r="S87" s="130">
        <v>2</v>
      </c>
      <c r="T87" s="135">
        <v>5</v>
      </c>
    </row>
    <row r="88" spans="1:20" ht="123.75" customHeight="1" x14ac:dyDescent="0.3">
      <c r="A88" s="74">
        <v>83</v>
      </c>
      <c r="B88" s="127" t="s">
        <v>57</v>
      </c>
      <c r="C88" s="127" t="s">
        <v>56</v>
      </c>
      <c r="D88" s="128" t="s">
        <v>86</v>
      </c>
      <c r="E88" s="129" t="s">
        <v>486</v>
      </c>
      <c r="F88" s="129" t="s">
        <v>498</v>
      </c>
      <c r="G88" s="130">
        <v>3</v>
      </c>
      <c r="H88" s="130">
        <v>4</v>
      </c>
      <c r="I88" s="133">
        <v>17</v>
      </c>
      <c r="J88" s="129" t="s">
        <v>334</v>
      </c>
      <c r="K88" s="130">
        <v>2</v>
      </c>
      <c r="L88" s="130">
        <v>3</v>
      </c>
      <c r="M88" s="134">
        <v>11</v>
      </c>
      <c r="N88" s="129" t="s">
        <v>335</v>
      </c>
      <c r="O88" s="116" t="s">
        <v>449</v>
      </c>
      <c r="P88" s="130"/>
      <c r="Q88" s="130" t="s">
        <v>74</v>
      </c>
      <c r="R88" s="130">
        <v>2</v>
      </c>
      <c r="S88" s="130">
        <v>3</v>
      </c>
      <c r="T88" s="134">
        <v>11</v>
      </c>
    </row>
    <row r="89" spans="1:20" ht="63" x14ac:dyDescent="0.3">
      <c r="A89" s="74">
        <v>84</v>
      </c>
      <c r="B89" s="127" t="s">
        <v>57</v>
      </c>
      <c r="C89" s="127" t="s">
        <v>56</v>
      </c>
      <c r="D89" s="128" t="s">
        <v>336</v>
      </c>
      <c r="E89" s="129" t="s">
        <v>486</v>
      </c>
      <c r="F89" s="129" t="s">
        <v>337</v>
      </c>
      <c r="G89" s="130">
        <v>2</v>
      </c>
      <c r="H89" s="130">
        <v>4</v>
      </c>
      <c r="I89" s="133">
        <v>15</v>
      </c>
      <c r="J89" s="129" t="s">
        <v>338</v>
      </c>
      <c r="K89" s="130">
        <v>2</v>
      </c>
      <c r="L89" s="130">
        <v>3</v>
      </c>
      <c r="M89" s="134">
        <v>11</v>
      </c>
      <c r="N89" s="129" t="s">
        <v>339</v>
      </c>
      <c r="O89" s="116" t="s">
        <v>486</v>
      </c>
      <c r="P89" s="130"/>
      <c r="Q89" s="130" t="s">
        <v>74</v>
      </c>
      <c r="R89" s="130">
        <v>1</v>
      </c>
      <c r="S89" s="130">
        <v>2</v>
      </c>
      <c r="T89" s="136">
        <v>3</v>
      </c>
    </row>
    <row r="90" spans="1:20" ht="42" x14ac:dyDescent="0.3">
      <c r="A90" s="74">
        <v>85</v>
      </c>
      <c r="B90" s="127" t="s">
        <v>57</v>
      </c>
      <c r="C90" s="127" t="s">
        <v>56</v>
      </c>
      <c r="D90" s="128" t="s">
        <v>340</v>
      </c>
      <c r="E90" s="129" t="s">
        <v>486</v>
      </c>
      <c r="F90" s="129" t="s">
        <v>341</v>
      </c>
      <c r="G90" s="130">
        <v>2</v>
      </c>
      <c r="H90" s="130">
        <v>2</v>
      </c>
      <c r="I90" s="135">
        <v>5</v>
      </c>
      <c r="J90" s="129" t="s">
        <v>499</v>
      </c>
      <c r="K90" s="130">
        <v>1</v>
      </c>
      <c r="L90" s="130">
        <v>1</v>
      </c>
      <c r="M90" s="136">
        <v>1</v>
      </c>
      <c r="N90" s="129" t="s">
        <v>342</v>
      </c>
      <c r="O90" s="116" t="s">
        <v>486</v>
      </c>
      <c r="P90" s="130"/>
      <c r="Q90" s="130" t="s">
        <v>74</v>
      </c>
      <c r="R90" s="130">
        <v>1</v>
      </c>
      <c r="S90" s="130">
        <v>1</v>
      </c>
      <c r="T90" s="136">
        <v>1</v>
      </c>
    </row>
    <row r="91" spans="1:20" ht="84" x14ac:dyDescent="0.3">
      <c r="A91" s="74">
        <v>86</v>
      </c>
      <c r="B91" s="127" t="s">
        <v>57</v>
      </c>
      <c r="C91" s="127" t="s">
        <v>56</v>
      </c>
      <c r="D91" s="128" t="s">
        <v>343</v>
      </c>
      <c r="E91" s="129" t="s">
        <v>445</v>
      </c>
      <c r="F91" s="129" t="s">
        <v>344</v>
      </c>
      <c r="G91" s="130">
        <v>2</v>
      </c>
      <c r="H91" s="130">
        <v>1</v>
      </c>
      <c r="I91" s="136">
        <v>2</v>
      </c>
      <c r="J91" s="129"/>
      <c r="K91" s="130">
        <v>2</v>
      </c>
      <c r="L91" s="130">
        <v>1</v>
      </c>
      <c r="M91" s="136">
        <v>2</v>
      </c>
      <c r="N91" s="129" t="s">
        <v>345</v>
      </c>
      <c r="O91" s="116" t="s">
        <v>439</v>
      </c>
      <c r="P91" s="130"/>
      <c r="Q91" s="130"/>
      <c r="R91" s="130">
        <v>2</v>
      </c>
      <c r="S91" s="130">
        <v>1</v>
      </c>
      <c r="T91" s="136">
        <v>2</v>
      </c>
    </row>
    <row r="92" spans="1:20" ht="63" x14ac:dyDescent="0.3">
      <c r="A92" s="74">
        <v>87</v>
      </c>
      <c r="B92" s="127" t="s">
        <v>57</v>
      </c>
      <c r="C92" s="127" t="s">
        <v>56</v>
      </c>
      <c r="D92" s="128" t="s">
        <v>346</v>
      </c>
      <c r="E92" s="129" t="s">
        <v>486</v>
      </c>
      <c r="F92" s="129" t="s">
        <v>347</v>
      </c>
      <c r="G92" s="130">
        <v>1</v>
      </c>
      <c r="H92" s="130">
        <v>3</v>
      </c>
      <c r="I92" s="137">
        <v>10</v>
      </c>
      <c r="J92" s="129"/>
      <c r="K92" s="130">
        <v>1</v>
      </c>
      <c r="L92" s="130">
        <v>3</v>
      </c>
      <c r="M92" s="137">
        <v>10</v>
      </c>
      <c r="N92" s="129" t="s">
        <v>348</v>
      </c>
      <c r="O92" s="116" t="s">
        <v>439</v>
      </c>
      <c r="P92" s="130"/>
      <c r="Q92" s="130"/>
      <c r="R92" s="130">
        <v>1</v>
      </c>
      <c r="S92" s="130">
        <v>3</v>
      </c>
      <c r="T92" s="137">
        <v>10</v>
      </c>
    </row>
    <row r="93" spans="1:20" ht="63" x14ac:dyDescent="0.3">
      <c r="A93" s="74">
        <v>88</v>
      </c>
      <c r="B93" s="127" t="s">
        <v>57</v>
      </c>
      <c r="C93" s="127" t="s">
        <v>56</v>
      </c>
      <c r="D93" s="128" t="s">
        <v>349</v>
      </c>
      <c r="E93" s="129" t="s">
        <v>486</v>
      </c>
      <c r="F93" s="129" t="s">
        <v>350</v>
      </c>
      <c r="G93" s="130">
        <v>4</v>
      </c>
      <c r="H93" s="130">
        <v>3</v>
      </c>
      <c r="I93" s="133">
        <v>16</v>
      </c>
      <c r="J93" s="129" t="s">
        <v>351</v>
      </c>
      <c r="K93" s="130">
        <v>3</v>
      </c>
      <c r="L93" s="130">
        <v>2</v>
      </c>
      <c r="M93" s="135">
        <v>6</v>
      </c>
      <c r="N93" s="129" t="s">
        <v>352</v>
      </c>
      <c r="O93" s="116" t="s">
        <v>439</v>
      </c>
      <c r="P93" s="130"/>
      <c r="Q93" s="130"/>
      <c r="R93" s="130">
        <v>3</v>
      </c>
      <c r="S93" s="130">
        <v>2</v>
      </c>
      <c r="T93" s="135">
        <v>6</v>
      </c>
    </row>
    <row r="94" spans="1:20" ht="84" x14ac:dyDescent="0.3">
      <c r="A94" s="74">
        <v>89</v>
      </c>
      <c r="B94" s="127" t="s">
        <v>57</v>
      </c>
      <c r="C94" s="127" t="s">
        <v>56</v>
      </c>
      <c r="D94" s="128" t="s">
        <v>353</v>
      </c>
      <c r="E94" s="129" t="s">
        <v>486</v>
      </c>
      <c r="F94" s="129" t="s">
        <v>354</v>
      </c>
      <c r="G94" s="130">
        <v>2</v>
      </c>
      <c r="H94" s="130">
        <v>4</v>
      </c>
      <c r="I94" s="133">
        <v>15</v>
      </c>
      <c r="J94" s="129" t="s">
        <v>355</v>
      </c>
      <c r="K94" s="130">
        <v>2</v>
      </c>
      <c r="L94" s="130">
        <v>3</v>
      </c>
      <c r="M94" s="134">
        <v>11</v>
      </c>
      <c r="N94" s="129" t="s">
        <v>356</v>
      </c>
      <c r="O94" s="116" t="s">
        <v>439</v>
      </c>
      <c r="P94" s="130"/>
      <c r="Q94" s="130"/>
      <c r="R94" s="130">
        <v>2</v>
      </c>
      <c r="S94" s="130">
        <v>3</v>
      </c>
      <c r="T94" s="134">
        <v>11</v>
      </c>
    </row>
    <row r="95" spans="1:20" ht="63" x14ac:dyDescent="0.3">
      <c r="A95" s="74">
        <v>90</v>
      </c>
      <c r="B95" s="127" t="s">
        <v>57</v>
      </c>
      <c r="C95" s="127" t="s">
        <v>56</v>
      </c>
      <c r="D95" s="128" t="s">
        <v>357</v>
      </c>
      <c r="E95" s="129" t="s">
        <v>486</v>
      </c>
      <c r="F95" s="129" t="s">
        <v>358</v>
      </c>
      <c r="G95" s="130">
        <v>4</v>
      </c>
      <c r="H95" s="130">
        <v>4</v>
      </c>
      <c r="I95" s="131">
        <v>21</v>
      </c>
      <c r="J95" s="129" t="s">
        <v>359</v>
      </c>
      <c r="K95" s="130">
        <v>3</v>
      </c>
      <c r="L95" s="130">
        <v>3</v>
      </c>
      <c r="M95" s="134">
        <v>12</v>
      </c>
      <c r="N95" s="129" t="s">
        <v>360</v>
      </c>
      <c r="O95" s="116" t="s">
        <v>439</v>
      </c>
      <c r="P95" s="130"/>
      <c r="Q95" s="130"/>
      <c r="R95" s="130">
        <v>3</v>
      </c>
      <c r="S95" s="130">
        <v>2</v>
      </c>
      <c r="T95" s="135">
        <v>6</v>
      </c>
    </row>
    <row r="96" spans="1:20" ht="63" x14ac:dyDescent="0.3">
      <c r="A96" s="74">
        <v>91</v>
      </c>
      <c r="B96" s="127" t="s">
        <v>57</v>
      </c>
      <c r="C96" s="127" t="s">
        <v>56</v>
      </c>
      <c r="D96" s="128" t="s">
        <v>361</v>
      </c>
      <c r="E96" s="129" t="s">
        <v>486</v>
      </c>
      <c r="F96" s="129" t="s">
        <v>89</v>
      </c>
      <c r="G96" s="130">
        <v>2</v>
      </c>
      <c r="H96" s="130">
        <v>3</v>
      </c>
      <c r="I96" s="134">
        <v>11</v>
      </c>
      <c r="J96" s="129"/>
      <c r="K96" s="130">
        <v>2</v>
      </c>
      <c r="L96" s="130">
        <v>3</v>
      </c>
      <c r="M96" s="134">
        <v>11</v>
      </c>
      <c r="N96" s="129" t="s">
        <v>360</v>
      </c>
      <c r="O96" s="116" t="s">
        <v>439</v>
      </c>
      <c r="P96" s="130"/>
      <c r="Q96" s="130"/>
      <c r="R96" s="130">
        <v>2</v>
      </c>
      <c r="S96" s="130">
        <v>3</v>
      </c>
      <c r="T96" s="134">
        <v>11</v>
      </c>
    </row>
    <row r="97" spans="1:20" ht="42" x14ac:dyDescent="0.3">
      <c r="A97" s="74">
        <v>92</v>
      </c>
      <c r="B97" s="127" t="s">
        <v>57</v>
      </c>
      <c r="C97" s="127" t="s">
        <v>56</v>
      </c>
      <c r="D97" s="128" t="s">
        <v>362</v>
      </c>
      <c r="E97" s="129" t="s">
        <v>486</v>
      </c>
      <c r="F97" s="129" t="s">
        <v>363</v>
      </c>
      <c r="G97" s="130">
        <v>1</v>
      </c>
      <c r="H97" s="130">
        <v>1</v>
      </c>
      <c r="I97" s="136">
        <v>1</v>
      </c>
      <c r="J97" s="129"/>
      <c r="K97" s="130">
        <v>1</v>
      </c>
      <c r="L97" s="130">
        <v>1</v>
      </c>
      <c r="M97" s="136">
        <v>1</v>
      </c>
      <c r="N97" s="129" t="s">
        <v>364</v>
      </c>
      <c r="O97" s="116" t="s">
        <v>439</v>
      </c>
      <c r="P97" s="130"/>
      <c r="Q97" s="130"/>
      <c r="R97" s="130">
        <v>1</v>
      </c>
      <c r="S97" s="130">
        <v>1</v>
      </c>
      <c r="T97" s="136">
        <v>1</v>
      </c>
    </row>
    <row r="98" spans="1:20" ht="42" x14ac:dyDescent="0.3">
      <c r="A98" s="74">
        <v>93</v>
      </c>
      <c r="B98" s="127" t="s">
        <v>57</v>
      </c>
      <c r="C98" s="127" t="s">
        <v>56</v>
      </c>
      <c r="D98" s="128" t="s">
        <v>365</v>
      </c>
      <c r="E98" s="129" t="s">
        <v>486</v>
      </c>
      <c r="F98" s="129" t="s">
        <v>366</v>
      </c>
      <c r="G98" s="130">
        <v>4</v>
      </c>
      <c r="H98" s="130">
        <v>4</v>
      </c>
      <c r="I98" s="131">
        <v>21</v>
      </c>
      <c r="J98" s="129" t="s">
        <v>367</v>
      </c>
      <c r="K98" s="130">
        <v>4</v>
      </c>
      <c r="L98" s="130">
        <v>4</v>
      </c>
      <c r="M98" s="131">
        <v>21</v>
      </c>
      <c r="N98" s="129" t="s">
        <v>367</v>
      </c>
      <c r="O98" s="116" t="s">
        <v>439</v>
      </c>
      <c r="P98" s="130"/>
      <c r="Q98" s="130"/>
      <c r="R98" s="130">
        <v>4</v>
      </c>
      <c r="S98" s="130">
        <v>3</v>
      </c>
      <c r="T98" s="133">
        <v>16</v>
      </c>
    </row>
    <row r="99" spans="1:20" ht="42" x14ac:dyDescent="0.3">
      <c r="A99" s="74">
        <v>94</v>
      </c>
      <c r="B99" s="127" t="s">
        <v>57</v>
      </c>
      <c r="C99" s="127" t="s">
        <v>56</v>
      </c>
      <c r="D99" s="128" t="s">
        <v>368</v>
      </c>
      <c r="E99" s="129" t="s">
        <v>486</v>
      </c>
      <c r="F99" s="129" t="s">
        <v>369</v>
      </c>
      <c r="G99" s="130">
        <v>1</v>
      </c>
      <c r="H99" s="130">
        <v>3</v>
      </c>
      <c r="I99" s="137">
        <v>10</v>
      </c>
      <c r="J99" s="129" t="s">
        <v>370</v>
      </c>
      <c r="K99" s="130">
        <v>1</v>
      </c>
      <c r="L99" s="130">
        <v>3</v>
      </c>
      <c r="M99" s="137">
        <v>10</v>
      </c>
      <c r="N99" s="129" t="s">
        <v>371</v>
      </c>
      <c r="O99" s="116" t="s">
        <v>439</v>
      </c>
      <c r="P99" s="130"/>
      <c r="Q99" s="130"/>
      <c r="R99" s="130">
        <v>1</v>
      </c>
      <c r="S99" s="130">
        <v>3</v>
      </c>
      <c r="T99" s="137">
        <v>10</v>
      </c>
    </row>
    <row r="100" spans="1:20" ht="42" x14ac:dyDescent="0.3">
      <c r="A100" s="74">
        <v>95</v>
      </c>
      <c r="B100" s="127" t="s">
        <v>57</v>
      </c>
      <c r="C100" s="127" t="s">
        <v>56</v>
      </c>
      <c r="D100" s="128" t="s">
        <v>372</v>
      </c>
      <c r="E100" s="129" t="s">
        <v>486</v>
      </c>
      <c r="F100" s="129" t="s">
        <v>373</v>
      </c>
      <c r="G100" s="130">
        <v>4</v>
      </c>
      <c r="H100" s="130">
        <v>4</v>
      </c>
      <c r="I100" s="131">
        <v>21</v>
      </c>
      <c r="J100" s="129" t="s">
        <v>374</v>
      </c>
      <c r="K100" s="130">
        <v>4</v>
      </c>
      <c r="L100" s="130">
        <v>4</v>
      </c>
      <c r="M100" s="131">
        <v>21</v>
      </c>
      <c r="N100" s="129" t="s">
        <v>375</v>
      </c>
      <c r="O100" s="116" t="s">
        <v>439</v>
      </c>
      <c r="P100" s="130"/>
      <c r="Q100" s="130"/>
      <c r="R100" s="130">
        <v>4</v>
      </c>
      <c r="S100" s="130">
        <v>3</v>
      </c>
      <c r="T100" s="133">
        <v>16</v>
      </c>
    </row>
    <row r="101" spans="1:20" ht="42" x14ac:dyDescent="0.3">
      <c r="A101" s="74">
        <v>96</v>
      </c>
      <c r="B101" s="127" t="s">
        <v>57</v>
      </c>
      <c r="C101" s="127" t="s">
        <v>56</v>
      </c>
      <c r="D101" s="128" t="s">
        <v>376</v>
      </c>
      <c r="E101" s="129" t="s">
        <v>486</v>
      </c>
      <c r="F101" s="129" t="s">
        <v>377</v>
      </c>
      <c r="G101" s="130">
        <v>4</v>
      </c>
      <c r="H101" s="130">
        <v>2</v>
      </c>
      <c r="I101" s="137">
        <v>9</v>
      </c>
      <c r="J101" s="129" t="s">
        <v>378</v>
      </c>
      <c r="K101" s="130">
        <v>4</v>
      </c>
      <c r="L101" s="130">
        <v>2</v>
      </c>
      <c r="M101" s="137">
        <v>9</v>
      </c>
      <c r="N101" s="129" t="s">
        <v>379</v>
      </c>
      <c r="O101" s="116" t="s">
        <v>439</v>
      </c>
      <c r="P101" s="130"/>
      <c r="Q101" s="130"/>
      <c r="R101" s="130">
        <v>4</v>
      </c>
      <c r="S101" s="130">
        <v>2</v>
      </c>
      <c r="T101" s="137">
        <v>9</v>
      </c>
    </row>
    <row r="102" spans="1:20" ht="42" x14ac:dyDescent="0.3">
      <c r="A102" s="74">
        <v>97</v>
      </c>
      <c r="B102" s="127" t="s">
        <v>57</v>
      </c>
      <c r="C102" s="127" t="s">
        <v>56</v>
      </c>
      <c r="D102" s="128" t="s">
        <v>88</v>
      </c>
      <c r="E102" s="129" t="s">
        <v>486</v>
      </c>
      <c r="F102" s="129" t="s">
        <v>380</v>
      </c>
      <c r="G102" s="130">
        <v>2</v>
      </c>
      <c r="H102" s="130">
        <v>2</v>
      </c>
      <c r="I102" s="135">
        <v>5</v>
      </c>
      <c r="J102" s="129"/>
      <c r="K102" s="130">
        <v>2</v>
      </c>
      <c r="L102" s="130">
        <v>2</v>
      </c>
      <c r="M102" s="135">
        <v>5</v>
      </c>
      <c r="N102" s="129" t="s">
        <v>381</v>
      </c>
      <c r="O102" s="116" t="s">
        <v>439</v>
      </c>
      <c r="P102" s="130"/>
      <c r="Q102" s="130"/>
      <c r="R102" s="130">
        <v>2</v>
      </c>
      <c r="S102" s="130">
        <v>2</v>
      </c>
      <c r="T102" s="135">
        <v>5</v>
      </c>
    </row>
    <row r="103" spans="1:20" ht="63" x14ac:dyDescent="0.3">
      <c r="A103" s="74">
        <v>98</v>
      </c>
      <c r="B103" s="127" t="s">
        <v>57</v>
      </c>
      <c r="C103" s="127" t="s">
        <v>56</v>
      </c>
      <c r="D103" s="128" t="s">
        <v>382</v>
      </c>
      <c r="E103" s="129" t="s">
        <v>486</v>
      </c>
      <c r="F103" s="129" t="s">
        <v>383</v>
      </c>
      <c r="G103" s="130">
        <v>2</v>
      </c>
      <c r="H103" s="130">
        <v>3</v>
      </c>
      <c r="I103" s="134">
        <v>11</v>
      </c>
      <c r="J103" s="129"/>
      <c r="K103" s="130">
        <v>2</v>
      </c>
      <c r="L103" s="130">
        <v>3</v>
      </c>
      <c r="M103" s="134">
        <v>11</v>
      </c>
      <c r="N103" s="129" t="s">
        <v>384</v>
      </c>
      <c r="O103" s="116" t="s">
        <v>439</v>
      </c>
      <c r="P103" s="130"/>
      <c r="Q103" s="130"/>
      <c r="R103" s="130">
        <v>2</v>
      </c>
      <c r="S103" s="130">
        <v>3</v>
      </c>
      <c r="T103" s="134">
        <v>11</v>
      </c>
    </row>
    <row r="104" spans="1:20" ht="42" x14ac:dyDescent="0.3">
      <c r="A104" s="74">
        <v>99</v>
      </c>
      <c r="B104" s="127" t="s">
        <v>57</v>
      </c>
      <c r="C104" s="127" t="s">
        <v>56</v>
      </c>
      <c r="D104" s="128" t="s">
        <v>385</v>
      </c>
      <c r="E104" s="129" t="s">
        <v>486</v>
      </c>
      <c r="F104" s="129" t="s">
        <v>386</v>
      </c>
      <c r="G104" s="130">
        <v>2</v>
      </c>
      <c r="H104" s="130">
        <v>2</v>
      </c>
      <c r="I104" s="135">
        <v>5</v>
      </c>
      <c r="J104" s="129"/>
      <c r="K104" s="130">
        <v>2</v>
      </c>
      <c r="L104" s="130">
        <v>2</v>
      </c>
      <c r="M104" s="135">
        <v>5</v>
      </c>
      <c r="N104" s="129" t="s">
        <v>387</v>
      </c>
      <c r="O104" s="116" t="s">
        <v>439</v>
      </c>
      <c r="P104" s="130"/>
      <c r="Q104" s="130"/>
      <c r="R104" s="130">
        <v>2</v>
      </c>
      <c r="S104" s="130">
        <v>2</v>
      </c>
      <c r="T104" s="135">
        <v>5</v>
      </c>
    </row>
    <row r="105" spans="1:20" ht="84" x14ac:dyDescent="0.3">
      <c r="A105" s="74">
        <v>100</v>
      </c>
      <c r="B105" s="127" t="s">
        <v>57</v>
      </c>
      <c r="C105" s="127" t="s">
        <v>56</v>
      </c>
      <c r="D105" s="128" t="s">
        <v>75</v>
      </c>
      <c r="E105" s="129" t="s">
        <v>486</v>
      </c>
      <c r="F105" s="129" t="s">
        <v>388</v>
      </c>
      <c r="G105" s="130">
        <v>1</v>
      </c>
      <c r="H105" s="130">
        <v>1</v>
      </c>
      <c r="I105" s="136">
        <v>1</v>
      </c>
      <c r="J105" s="129"/>
      <c r="K105" s="130">
        <v>1</v>
      </c>
      <c r="L105" s="130">
        <v>1</v>
      </c>
      <c r="M105" s="136">
        <v>1</v>
      </c>
      <c r="N105" s="129" t="s">
        <v>345</v>
      </c>
      <c r="O105" s="116" t="s">
        <v>439</v>
      </c>
      <c r="P105" s="130"/>
      <c r="Q105" s="130"/>
      <c r="R105" s="130">
        <v>1</v>
      </c>
      <c r="S105" s="130">
        <v>1</v>
      </c>
      <c r="T105" s="136">
        <v>1</v>
      </c>
    </row>
    <row r="106" spans="1:20" x14ac:dyDescent="0.3">
      <c r="A106" s="74">
        <v>101</v>
      </c>
      <c r="B106" s="127" t="s">
        <v>57</v>
      </c>
      <c r="C106" s="127" t="s">
        <v>56</v>
      </c>
      <c r="D106" s="128" t="s">
        <v>389</v>
      </c>
      <c r="E106" s="129" t="s">
        <v>486</v>
      </c>
      <c r="F106" s="129" t="s">
        <v>341</v>
      </c>
      <c r="G106" s="130">
        <v>4</v>
      </c>
      <c r="H106" s="130">
        <v>3</v>
      </c>
      <c r="I106" s="133">
        <v>16</v>
      </c>
      <c r="J106" s="129" t="s">
        <v>390</v>
      </c>
      <c r="K106" s="130">
        <v>3</v>
      </c>
      <c r="L106" s="130">
        <v>2</v>
      </c>
      <c r="M106" s="135">
        <v>6</v>
      </c>
      <c r="N106" s="129" t="s">
        <v>391</v>
      </c>
      <c r="O106" s="116" t="s">
        <v>439</v>
      </c>
      <c r="P106" s="130"/>
      <c r="Q106" s="130"/>
      <c r="R106" s="130">
        <v>3</v>
      </c>
      <c r="S106" s="130">
        <v>2</v>
      </c>
      <c r="T106" s="135">
        <v>6</v>
      </c>
    </row>
    <row r="107" spans="1:20" ht="84" x14ac:dyDescent="0.3">
      <c r="A107" s="74">
        <v>102</v>
      </c>
      <c r="B107" s="127" t="s">
        <v>57</v>
      </c>
      <c r="C107" s="127" t="s">
        <v>56</v>
      </c>
      <c r="D107" s="128" t="s">
        <v>392</v>
      </c>
      <c r="E107" s="129" t="s">
        <v>486</v>
      </c>
      <c r="F107" s="129" t="s">
        <v>393</v>
      </c>
      <c r="G107" s="130">
        <v>4</v>
      </c>
      <c r="H107" s="130">
        <v>3</v>
      </c>
      <c r="I107" s="133">
        <v>16</v>
      </c>
      <c r="J107" s="129" t="s">
        <v>394</v>
      </c>
      <c r="K107" s="130">
        <v>3</v>
      </c>
      <c r="L107" s="130">
        <v>2</v>
      </c>
      <c r="M107" s="135">
        <v>6</v>
      </c>
      <c r="N107" s="129" t="s">
        <v>395</v>
      </c>
      <c r="O107" s="116" t="s">
        <v>439</v>
      </c>
      <c r="P107" s="130"/>
      <c r="Q107" s="130"/>
      <c r="R107" s="130">
        <v>3</v>
      </c>
      <c r="S107" s="130">
        <v>2</v>
      </c>
      <c r="T107" s="135">
        <v>6</v>
      </c>
    </row>
    <row r="108" spans="1:20" ht="63" x14ac:dyDescent="0.3">
      <c r="A108" s="74">
        <v>103</v>
      </c>
      <c r="B108" s="127" t="s">
        <v>57</v>
      </c>
      <c r="C108" s="127" t="s">
        <v>56</v>
      </c>
      <c r="D108" s="128" t="s">
        <v>396</v>
      </c>
      <c r="E108" s="129" t="s">
        <v>486</v>
      </c>
      <c r="F108" s="129" t="s">
        <v>397</v>
      </c>
      <c r="G108" s="130">
        <v>2</v>
      </c>
      <c r="H108" s="130">
        <v>2</v>
      </c>
      <c r="I108" s="135">
        <v>5</v>
      </c>
      <c r="J108" s="129" t="s">
        <v>482</v>
      </c>
      <c r="K108" s="130">
        <v>2</v>
      </c>
      <c r="L108" s="130">
        <v>2</v>
      </c>
      <c r="M108" s="135">
        <v>5</v>
      </c>
      <c r="N108" s="129" t="s">
        <v>398</v>
      </c>
      <c r="O108" s="130" t="s">
        <v>483</v>
      </c>
      <c r="P108" s="130"/>
      <c r="Q108" s="130" t="s">
        <v>74</v>
      </c>
      <c r="R108" s="130">
        <v>2</v>
      </c>
      <c r="S108" s="130">
        <v>2</v>
      </c>
      <c r="T108" s="135">
        <v>5</v>
      </c>
    </row>
    <row r="109" spans="1:20" ht="42" x14ac:dyDescent="0.3">
      <c r="A109" s="74">
        <v>104</v>
      </c>
      <c r="B109" s="127" t="s">
        <v>57</v>
      </c>
      <c r="C109" s="127" t="s">
        <v>56</v>
      </c>
      <c r="D109" s="128" t="s">
        <v>399</v>
      </c>
      <c r="E109" s="129" t="s">
        <v>486</v>
      </c>
      <c r="F109" s="129" t="s">
        <v>480</v>
      </c>
      <c r="G109" s="130">
        <v>2</v>
      </c>
      <c r="H109" s="130">
        <v>3</v>
      </c>
      <c r="I109" s="134">
        <v>11</v>
      </c>
      <c r="J109" s="129" t="s">
        <v>481</v>
      </c>
      <c r="K109" s="130">
        <v>2</v>
      </c>
      <c r="L109" s="130">
        <v>3</v>
      </c>
      <c r="M109" s="134">
        <v>11</v>
      </c>
      <c r="N109" s="129"/>
      <c r="O109" s="116" t="s">
        <v>439</v>
      </c>
      <c r="P109" s="130"/>
      <c r="Q109" s="130"/>
      <c r="R109" s="130">
        <v>2</v>
      </c>
      <c r="S109" s="130">
        <v>3</v>
      </c>
      <c r="T109" s="134">
        <v>11</v>
      </c>
    </row>
    <row r="110" spans="1:20" x14ac:dyDescent="0.3">
      <c r="A110" s="74">
        <v>105</v>
      </c>
      <c r="B110" s="127" t="s">
        <v>57</v>
      </c>
      <c r="C110" s="127" t="s">
        <v>56</v>
      </c>
      <c r="D110" s="128" t="s">
        <v>400</v>
      </c>
      <c r="E110" s="129" t="s">
        <v>486</v>
      </c>
      <c r="F110" s="129" t="s">
        <v>401</v>
      </c>
      <c r="G110" s="130">
        <v>3</v>
      </c>
      <c r="H110" s="130">
        <v>3</v>
      </c>
      <c r="I110" s="134">
        <v>12</v>
      </c>
      <c r="J110" s="129" t="s">
        <v>402</v>
      </c>
      <c r="K110" s="130">
        <v>2</v>
      </c>
      <c r="L110" s="130">
        <v>2</v>
      </c>
      <c r="M110" s="135">
        <v>5</v>
      </c>
      <c r="N110" s="129" t="s">
        <v>403</v>
      </c>
      <c r="O110" s="116" t="s">
        <v>439</v>
      </c>
      <c r="P110" s="130"/>
      <c r="Q110" s="130"/>
      <c r="R110" s="130">
        <v>2</v>
      </c>
      <c r="S110" s="130">
        <v>2</v>
      </c>
      <c r="T110" s="135">
        <v>5</v>
      </c>
    </row>
    <row r="111" spans="1:20" ht="63" x14ac:dyDescent="0.3">
      <c r="A111" s="74">
        <v>106</v>
      </c>
      <c r="B111" s="127" t="s">
        <v>57</v>
      </c>
      <c r="C111" s="127" t="s">
        <v>404</v>
      </c>
      <c r="D111" s="128" t="s">
        <v>405</v>
      </c>
      <c r="E111" s="129" t="s">
        <v>486</v>
      </c>
      <c r="F111" s="129" t="s">
        <v>406</v>
      </c>
      <c r="G111" s="130">
        <v>3</v>
      </c>
      <c r="H111" s="130">
        <v>3</v>
      </c>
      <c r="I111" s="134">
        <v>12</v>
      </c>
      <c r="J111" s="129" t="s">
        <v>407</v>
      </c>
      <c r="K111" s="130">
        <v>3</v>
      </c>
      <c r="L111" s="130">
        <v>2</v>
      </c>
      <c r="M111" s="135">
        <v>6</v>
      </c>
      <c r="N111" s="129" t="s">
        <v>408</v>
      </c>
      <c r="O111" s="116" t="s">
        <v>439</v>
      </c>
      <c r="P111" s="130"/>
      <c r="Q111" s="130"/>
      <c r="R111" s="130">
        <v>3</v>
      </c>
      <c r="S111" s="130">
        <v>2</v>
      </c>
      <c r="T111" s="135">
        <v>6</v>
      </c>
    </row>
    <row r="112" spans="1:20" ht="63" x14ac:dyDescent="0.3">
      <c r="A112" s="74">
        <v>107</v>
      </c>
      <c r="B112" s="127" t="s">
        <v>57</v>
      </c>
      <c r="C112" s="127" t="s">
        <v>404</v>
      </c>
      <c r="D112" s="128" t="s">
        <v>409</v>
      </c>
      <c r="E112" s="129" t="s">
        <v>486</v>
      </c>
      <c r="F112" s="129" t="s">
        <v>410</v>
      </c>
      <c r="G112" s="130">
        <v>3</v>
      </c>
      <c r="H112" s="130">
        <v>3</v>
      </c>
      <c r="I112" s="134">
        <v>12</v>
      </c>
      <c r="J112" s="129" t="s">
        <v>407</v>
      </c>
      <c r="K112" s="130">
        <v>3</v>
      </c>
      <c r="L112" s="130">
        <v>2</v>
      </c>
      <c r="M112" s="135">
        <v>6</v>
      </c>
      <c r="N112" s="129" t="s">
        <v>411</v>
      </c>
      <c r="O112" s="116" t="s">
        <v>439</v>
      </c>
      <c r="P112" s="130"/>
      <c r="Q112" s="130"/>
      <c r="R112" s="130">
        <v>3</v>
      </c>
      <c r="S112" s="130">
        <v>2</v>
      </c>
      <c r="T112" s="135">
        <v>6</v>
      </c>
    </row>
    <row r="113" spans="1:20" ht="84" x14ac:dyDescent="0.3">
      <c r="A113" s="74">
        <v>108</v>
      </c>
      <c r="B113" s="127" t="s">
        <v>57</v>
      </c>
      <c r="C113" s="127" t="s">
        <v>404</v>
      </c>
      <c r="D113" s="128" t="s">
        <v>412</v>
      </c>
      <c r="E113" s="129" t="s">
        <v>486</v>
      </c>
      <c r="F113" s="129" t="s">
        <v>413</v>
      </c>
      <c r="G113" s="130">
        <v>3</v>
      </c>
      <c r="H113" s="130">
        <v>3</v>
      </c>
      <c r="I113" s="134">
        <v>12</v>
      </c>
      <c r="J113" s="129" t="s">
        <v>414</v>
      </c>
      <c r="K113" s="130">
        <v>3</v>
      </c>
      <c r="L113" s="130">
        <v>2</v>
      </c>
      <c r="M113" s="135">
        <v>6</v>
      </c>
      <c r="N113" s="129"/>
      <c r="O113" s="116" t="s">
        <v>439</v>
      </c>
      <c r="P113" s="130"/>
      <c r="Q113" s="130"/>
      <c r="R113" s="130">
        <v>3</v>
      </c>
      <c r="S113" s="130">
        <v>2</v>
      </c>
      <c r="T113" s="135">
        <v>6</v>
      </c>
    </row>
    <row r="114" spans="1:20" ht="63" x14ac:dyDescent="0.3">
      <c r="A114" s="74">
        <v>109</v>
      </c>
      <c r="B114" s="127" t="s">
        <v>57</v>
      </c>
      <c r="C114" s="127" t="s">
        <v>404</v>
      </c>
      <c r="D114" s="128" t="s">
        <v>415</v>
      </c>
      <c r="E114" s="129" t="s">
        <v>486</v>
      </c>
      <c r="F114" s="129" t="s">
        <v>416</v>
      </c>
      <c r="G114" s="130">
        <v>3</v>
      </c>
      <c r="H114" s="130">
        <v>3</v>
      </c>
      <c r="I114" s="134">
        <v>12</v>
      </c>
      <c r="J114" s="129" t="s">
        <v>417</v>
      </c>
      <c r="K114" s="130">
        <v>2</v>
      </c>
      <c r="L114" s="130">
        <v>2</v>
      </c>
      <c r="M114" s="135">
        <v>5</v>
      </c>
      <c r="N114" s="129" t="s">
        <v>418</v>
      </c>
      <c r="O114" s="116" t="s">
        <v>439</v>
      </c>
      <c r="P114" s="130"/>
      <c r="Q114" s="130"/>
      <c r="R114" s="130">
        <v>2</v>
      </c>
      <c r="S114" s="130">
        <v>2</v>
      </c>
      <c r="T114" s="135">
        <v>5</v>
      </c>
    </row>
    <row r="115" spans="1:20" x14ac:dyDescent="0.3">
      <c r="A115" s="74">
        <v>110</v>
      </c>
      <c r="B115" s="127" t="s">
        <v>57</v>
      </c>
      <c r="C115" s="127" t="s">
        <v>404</v>
      </c>
      <c r="D115" s="128" t="s">
        <v>419</v>
      </c>
      <c r="E115" s="129" t="s">
        <v>486</v>
      </c>
      <c r="F115" s="129" t="s">
        <v>420</v>
      </c>
      <c r="G115" s="130">
        <v>2</v>
      </c>
      <c r="H115" s="130">
        <v>2</v>
      </c>
      <c r="I115" s="135">
        <v>5</v>
      </c>
      <c r="J115" s="129"/>
      <c r="K115" s="130">
        <v>2</v>
      </c>
      <c r="L115" s="130">
        <v>2</v>
      </c>
      <c r="M115" s="135">
        <v>5</v>
      </c>
      <c r="N115" s="129"/>
      <c r="O115" s="116" t="s">
        <v>439</v>
      </c>
      <c r="P115" s="130"/>
      <c r="Q115" s="130"/>
      <c r="R115" s="130">
        <v>2</v>
      </c>
      <c r="S115" s="130">
        <v>2</v>
      </c>
      <c r="T115" s="135">
        <v>5</v>
      </c>
    </row>
    <row r="116" spans="1:20" ht="42" x14ac:dyDescent="0.3">
      <c r="A116" s="74">
        <v>111</v>
      </c>
      <c r="B116" s="127" t="s">
        <v>57</v>
      </c>
      <c r="C116" s="127" t="s">
        <v>404</v>
      </c>
      <c r="D116" s="128" t="s">
        <v>421</v>
      </c>
      <c r="E116" s="129" t="s">
        <v>486</v>
      </c>
      <c r="F116" s="129" t="s">
        <v>280</v>
      </c>
      <c r="G116" s="130">
        <v>3</v>
      </c>
      <c r="H116" s="130">
        <v>2</v>
      </c>
      <c r="I116" s="135">
        <v>6</v>
      </c>
      <c r="J116" s="129"/>
      <c r="K116" s="130">
        <v>3</v>
      </c>
      <c r="L116" s="130">
        <v>2</v>
      </c>
      <c r="M116" s="135">
        <v>6</v>
      </c>
      <c r="N116" s="129"/>
      <c r="O116" s="116" t="s">
        <v>439</v>
      </c>
      <c r="P116" s="130"/>
      <c r="Q116" s="130"/>
      <c r="R116" s="130">
        <v>3</v>
      </c>
      <c r="S116" s="130">
        <v>2</v>
      </c>
      <c r="T116" s="135">
        <v>6</v>
      </c>
    </row>
    <row r="117" spans="1:20" ht="42" x14ac:dyDescent="0.3">
      <c r="A117" s="74">
        <v>112</v>
      </c>
      <c r="B117" s="127" t="s">
        <v>57</v>
      </c>
      <c r="C117" s="127" t="s">
        <v>404</v>
      </c>
      <c r="D117" s="128" t="s">
        <v>422</v>
      </c>
      <c r="E117" s="129" t="s">
        <v>486</v>
      </c>
      <c r="F117" s="129" t="s">
        <v>423</v>
      </c>
      <c r="G117" s="130">
        <v>4</v>
      </c>
      <c r="H117" s="130">
        <v>2</v>
      </c>
      <c r="I117" s="137">
        <v>9</v>
      </c>
      <c r="J117" s="129" t="s">
        <v>407</v>
      </c>
      <c r="K117" s="130">
        <v>3</v>
      </c>
      <c r="L117" s="130">
        <v>2</v>
      </c>
      <c r="M117" s="135">
        <v>6</v>
      </c>
      <c r="N117" s="129" t="s">
        <v>424</v>
      </c>
      <c r="O117" s="116" t="s">
        <v>439</v>
      </c>
      <c r="P117" s="130"/>
      <c r="Q117" s="130"/>
      <c r="R117" s="130">
        <v>3</v>
      </c>
      <c r="S117" s="130">
        <v>2</v>
      </c>
      <c r="T117" s="135">
        <v>6</v>
      </c>
    </row>
    <row r="118" spans="1:20" ht="40.799999999999997" x14ac:dyDescent="0.3">
      <c r="A118" s="74">
        <v>113</v>
      </c>
      <c r="B118" s="127" t="s">
        <v>57</v>
      </c>
      <c r="C118" s="127" t="s">
        <v>404</v>
      </c>
      <c r="D118" s="128" t="s">
        <v>425</v>
      </c>
      <c r="E118" s="129" t="s">
        <v>486</v>
      </c>
      <c r="F118" s="129" t="s">
        <v>426</v>
      </c>
      <c r="G118" s="130">
        <v>3</v>
      </c>
      <c r="H118" s="130">
        <v>3</v>
      </c>
      <c r="I118" s="134">
        <v>12</v>
      </c>
      <c r="J118" s="129" t="s">
        <v>407</v>
      </c>
      <c r="K118" s="130">
        <v>3</v>
      </c>
      <c r="L118" s="130">
        <v>2</v>
      </c>
      <c r="M118" s="135">
        <v>6</v>
      </c>
      <c r="N118" s="129" t="s">
        <v>424</v>
      </c>
      <c r="O118" s="116" t="s">
        <v>439</v>
      </c>
      <c r="P118" s="130"/>
      <c r="Q118" s="130"/>
      <c r="R118" s="130">
        <v>3</v>
      </c>
      <c r="S118" s="130">
        <v>2</v>
      </c>
      <c r="T118" s="135">
        <v>6</v>
      </c>
    </row>
    <row r="119" spans="1:20" x14ac:dyDescent="0.3">
      <c r="A119" s="74">
        <v>114</v>
      </c>
      <c r="B119" s="127" t="s">
        <v>57</v>
      </c>
      <c r="C119" s="127" t="s">
        <v>404</v>
      </c>
      <c r="D119" s="128" t="s">
        <v>427</v>
      </c>
      <c r="E119" s="129" t="s">
        <v>486</v>
      </c>
      <c r="F119" s="129" t="s">
        <v>479</v>
      </c>
      <c r="G119" s="130">
        <v>5</v>
      </c>
      <c r="H119" s="130">
        <v>4</v>
      </c>
      <c r="I119" s="132">
        <v>22</v>
      </c>
      <c r="J119" s="129" t="s">
        <v>407</v>
      </c>
      <c r="K119" s="130">
        <v>4</v>
      </c>
      <c r="L119" s="130">
        <v>3</v>
      </c>
      <c r="M119" s="133">
        <v>16</v>
      </c>
      <c r="N119" s="129" t="s">
        <v>424</v>
      </c>
      <c r="O119" s="116" t="s">
        <v>439</v>
      </c>
      <c r="P119" s="130"/>
      <c r="Q119" s="130"/>
      <c r="R119" s="130">
        <v>3</v>
      </c>
      <c r="S119" s="130">
        <v>2</v>
      </c>
      <c r="T119" s="135">
        <v>6</v>
      </c>
    </row>
    <row r="120" spans="1:20" ht="42" x14ac:dyDescent="0.3">
      <c r="A120" s="74">
        <v>115</v>
      </c>
      <c r="B120" s="127" t="s">
        <v>57</v>
      </c>
      <c r="C120" s="127" t="s">
        <v>404</v>
      </c>
      <c r="D120" s="128" t="s">
        <v>428</v>
      </c>
      <c r="E120" s="129" t="s">
        <v>477</v>
      </c>
      <c r="F120" s="129" t="s">
        <v>429</v>
      </c>
      <c r="G120" s="130">
        <v>3</v>
      </c>
      <c r="H120" s="130">
        <v>2</v>
      </c>
      <c r="I120" s="135">
        <v>6</v>
      </c>
      <c r="J120" s="129" t="s">
        <v>478</v>
      </c>
      <c r="K120" s="130">
        <v>3</v>
      </c>
      <c r="L120" s="130">
        <v>2</v>
      </c>
      <c r="M120" s="135">
        <v>6</v>
      </c>
      <c r="N120" s="129"/>
      <c r="O120" s="116" t="s">
        <v>439</v>
      </c>
      <c r="P120" s="130"/>
      <c r="Q120" s="130"/>
      <c r="R120" s="130">
        <v>3</v>
      </c>
      <c r="S120" s="130">
        <v>2</v>
      </c>
      <c r="T120" s="135">
        <v>6</v>
      </c>
    </row>
    <row r="121" spans="1:20" ht="63" x14ac:dyDescent="0.3">
      <c r="A121" s="74">
        <v>116</v>
      </c>
      <c r="B121" s="127" t="s">
        <v>57</v>
      </c>
      <c r="C121" s="127" t="s">
        <v>404</v>
      </c>
      <c r="D121" s="128" t="s">
        <v>430</v>
      </c>
      <c r="E121" s="129" t="s">
        <v>486</v>
      </c>
      <c r="F121" s="129" t="s">
        <v>484</v>
      </c>
      <c r="G121" s="130">
        <v>3</v>
      </c>
      <c r="H121" s="130">
        <v>3</v>
      </c>
      <c r="I121" s="134">
        <v>12</v>
      </c>
      <c r="J121" s="129" t="s">
        <v>417</v>
      </c>
      <c r="K121" s="130">
        <v>2</v>
      </c>
      <c r="L121" s="130">
        <v>2</v>
      </c>
      <c r="M121" s="135">
        <v>5</v>
      </c>
      <c r="N121" s="129" t="s">
        <v>418</v>
      </c>
      <c r="O121" s="116" t="s">
        <v>439</v>
      </c>
      <c r="P121" s="130"/>
      <c r="Q121" s="130"/>
      <c r="R121" s="130">
        <v>2</v>
      </c>
      <c r="S121" s="130">
        <v>2</v>
      </c>
      <c r="T121" s="135">
        <v>5</v>
      </c>
    </row>
    <row r="122" spans="1:20" ht="63" x14ac:dyDescent="0.3">
      <c r="A122" s="74">
        <v>117</v>
      </c>
      <c r="B122" s="127" t="s">
        <v>57</v>
      </c>
      <c r="C122" s="127" t="s">
        <v>404</v>
      </c>
      <c r="D122" s="128" t="s">
        <v>431</v>
      </c>
      <c r="E122" s="129" t="s">
        <v>486</v>
      </c>
      <c r="F122" s="129" t="s">
        <v>476</v>
      </c>
      <c r="G122" s="130">
        <v>4</v>
      </c>
      <c r="H122" s="130">
        <v>3</v>
      </c>
      <c r="I122" s="133">
        <v>16</v>
      </c>
      <c r="J122" s="129" t="s">
        <v>417</v>
      </c>
      <c r="K122" s="130">
        <v>3</v>
      </c>
      <c r="L122" s="130">
        <v>2</v>
      </c>
      <c r="M122" s="135">
        <v>6</v>
      </c>
      <c r="N122" s="129" t="s">
        <v>418</v>
      </c>
      <c r="O122" s="130" t="s">
        <v>440</v>
      </c>
      <c r="P122" s="130"/>
      <c r="Q122" s="130" t="s">
        <v>74</v>
      </c>
      <c r="R122" s="130">
        <v>3</v>
      </c>
      <c r="S122" s="130">
        <v>2</v>
      </c>
      <c r="T122" s="135">
        <v>6</v>
      </c>
    </row>
  </sheetData>
  <sheetProtection selectLockedCells="1" selectUnlockedCells="1"/>
  <printOptions horizontalCentered="1"/>
  <pageMargins left="0.70866141732283472" right="0.70866141732283472" top="0.74803149606299213" bottom="0.74803149606299213" header="0.31496062992125984" footer="0.31496062992125984"/>
  <pageSetup paperSize="8" scale="31" fitToHeight="0" orientation="landscape" horizontalDpi="4294967292" r:id="rId1"/>
  <headerFooter>
    <oddHeader>&amp;RWWW.POMPLUS.VN&amp;LEXAMPLE PROJECT (Water Treatment Plant Construction)</oddHeader>
    <oddFooter>&amp;RCreated by Nam Lethanh (namlt@protonmail.com)&amp;CAll right reserved @2017 POMPLUS Consulting Ltd.</oddFooter>
  </headerFooter>
  <drawing r:id="rId2"/>
  <legacyDrawing r:id="rId3"/>
  <legacyDrawingHF r:id="rId4"/>
  <controls>
    <mc:AlternateContent xmlns:mc="http://schemas.openxmlformats.org/markup-compatibility/2006">
      <mc:Choice Requires="x14">
        <control shapeId="3119" r:id="rId5" name="Image1">
          <controlPr defaultSize="0" autoLine="0" autoPict="0" r:id="rId6">
            <anchor moveWithCells="1">
              <from>
                <xdr:col>5</xdr:col>
                <xdr:colOff>1905000</xdr:colOff>
                <xdr:row>13</xdr:row>
                <xdr:rowOff>281940</xdr:rowOff>
              </from>
              <to>
                <xdr:col>9</xdr:col>
                <xdr:colOff>1181100</xdr:colOff>
                <xdr:row>15</xdr:row>
                <xdr:rowOff>685800</xdr:rowOff>
              </to>
            </anchor>
          </controlPr>
        </control>
      </mc:Choice>
      <mc:Fallback>
        <control shapeId="3119" r:id="rId5" name="Image1"/>
      </mc:Fallback>
    </mc:AlternateContent>
    <mc:AlternateContent xmlns:mc="http://schemas.openxmlformats.org/markup-compatibility/2006">
      <mc:Choice Requires="x14">
        <control shapeId="3118" r:id="rId7" name="Button 46">
          <controlPr defaultSize="0" print="0" autoFill="0" autoPict="0" macro="[0]!Module2.Module2">
            <anchor moveWithCells="1" sizeWithCells="1">
              <from>
                <xdr:col>20</xdr:col>
                <xdr:colOff>137160</xdr:colOff>
                <xdr:row>2</xdr:row>
                <xdr:rowOff>182880</xdr:rowOff>
              </from>
              <to>
                <xdr:col>23</xdr:col>
                <xdr:colOff>525780</xdr:colOff>
                <xdr:row>4</xdr:row>
                <xdr:rowOff>60960</xdr:rowOff>
              </to>
            </anchor>
          </controlPr>
        </control>
      </mc:Choice>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14:formula1>
            <xm:f>[2]DataFields!#REF!</xm:f>
          </x14:formula1>
          <xm:sqref>C6:C60</xm:sqref>
        </x14:dataValidation>
        <x14:dataValidation type="list" allowBlank="1" showInputMessage="1" showErrorMessage="1">
          <x14:formula1>
            <xm:f>DataFields!$D$4:$D$12</xm:f>
          </x14:formula1>
          <xm:sqref>B6:B60</xm:sqref>
        </x14:dataValidation>
        <x14:dataValidation type="list" allowBlank="1" showInputMessage="1" showErrorMessage="1">
          <x14:formula1>
            <xm:f>Definition!$C$27:$C$31</xm:f>
          </x14:formula1>
          <xm:sqref>S6:S60 L6:L60</xm:sqref>
        </x14:dataValidation>
        <x14:dataValidation type="list" showInputMessage="1" showErrorMessage="1">
          <x14:formula1>
            <xm:f>Definition!$C$27:$C$31</xm:f>
          </x14:formula1>
          <xm:sqref>H16:H60</xm:sqref>
        </x14:dataValidation>
        <x14:dataValidation type="list" allowBlank="1" showInputMessage="1" showErrorMessage="1">
          <x14:formula1>
            <xm:f>Definition!$C$19:$C$23</xm:f>
          </x14:formula1>
          <xm:sqref>R6:R60 G6:G60 K6:K60 H6</xm:sqref>
        </x14:dataValidation>
        <x14:dataValidation type="list" allowBlank="1" showInputMessage="1" showErrorMessage="1">
          <x14:formula1>
            <xm:f>[3]Help!#REF!</xm:f>
          </x14:formula1>
          <xm:sqref>H7:H15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6:T51"/>
  <sheetViews>
    <sheetView view="pageBreakPreview" zoomScale="85" zoomScaleNormal="85" zoomScaleSheetLayoutView="85" workbookViewId="0">
      <selection activeCell="E14" sqref="E14"/>
    </sheetView>
  </sheetViews>
  <sheetFormatPr defaultRowHeight="14.4" x14ac:dyDescent="0.3"/>
  <cols>
    <col min="2" max="2" width="14" bestFit="1" customWidth="1"/>
    <col min="3" max="3" width="5.5546875" bestFit="1" customWidth="1"/>
    <col min="4" max="8" width="12.6640625" customWidth="1"/>
    <col min="10" max="16" width="5.6640625" customWidth="1"/>
  </cols>
  <sheetData>
    <row r="6" spans="2:20" x14ac:dyDescent="0.3">
      <c r="B6" s="11" t="s">
        <v>0</v>
      </c>
      <c r="C6" s="12"/>
      <c r="D6" s="12"/>
      <c r="E6" s="12"/>
      <c r="F6" s="12"/>
      <c r="G6" s="12"/>
      <c r="H6" s="12"/>
      <c r="I6" s="42"/>
      <c r="M6" s="42"/>
      <c r="T6" s="42"/>
    </row>
    <row r="7" spans="2:20" x14ac:dyDescent="0.3">
      <c r="B7" s="24" t="s">
        <v>1</v>
      </c>
      <c r="C7" s="13"/>
      <c r="D7" s="25" t="s">
        <v>7</v>
      </c>
      <c r="E7" s="25"/>
      <c r="F7" s="25"/>
      <c r="G7" s="25"/>
      <c r="H7" s="25"/>
      <c r="I7" s="42"/>
      <c r="M7" s="42"/>
      <c r="T7" s="42"/>
    </row>
    <row r="8" spans="2:20" x14ac:dyDescent="0.3">
      <c r="B8" s="15"/>
      <c r="C8" s="16"/>
      <c r="D8" s="14" t="str">
        <f>B31</f>
        <v>Minor</v>
      </c>
      <c r="E8" s="14" t="str">
        <f>B30</f>
        <v>Major</v>
      </c>
      <c r="F8" s="14" t="str">
        <f>B29</f>
        <v>Severe</v>
      </c>
      <c r="G8" s="14" t="str">
        <f>B28</f>
        <v>Critical</v>
      </c>
      <c r="H8" s="14" t="str">
        <f>B27</f>
        <v>Catastrophic</v>
      </c>
      <c r="I8" s="42"/>
      <c r="M8" s="42"/>
      <c r="T8" s="42"/>
    </row>
    <row r="9" spans="2:20" x14ac:dyDescent="0.3">
      <c r="B9" s="17"/>
      <c r="C9" s="18" t="s">
        <v>14</v>
      </c>
      <c r="D9" s="19">
        <f>C31</f>
        <v>1</v>
      </c>
      <c r="E9" s="19">
        <f>C30</f>
        <v>2</v>
      </c>
      <c r="F9" s="19">
        <f>C29</f>
        <v>3</v>
      </c>
      <c r="G9" s="19">
        <f>C28</f>
        <v>4</v>
      </c>
      <c r="H9" s="19">
        <f>C27</f>
        <v>5</v>
      </c>
      <c r="I9" s="42"/>
      <c r="M9" s="42"/>
      <c r="T9" s="42"/>
    </row>
    <row r="10" spans="2:20" ht="24.9" customHeight="1" x14ac:dyDescent="0.3">
      <c r="B10" s="15" t="str">
        <f t="shared" ref="B10:C14" si="0">B19</f>
        <v>Almost certain</v>
      </c>
      <c r="C10" s="16">
        <f t="shared" si="0"/>
        <v>5</v>
      </c>
      <c r="D10" s="85">
        <v>8</v>
      </c>
      <c r="E10" s="47">
        <v>18</v>
      </c>
      <c r="F10" s="47">
        <v>20</v>
      </c>
      <c r="G10" s="78">
        <v>22</v>
      </c>
      <c r="H10" s="78">
        <v>25</v>
      </c>
      <c r="I10" s="42"/>
      <c r="M10" s="42"/>
      <c r="T10" s="42"/>
    </row>
    <row r="11" spans="2:20" ht="24.9" customHeight="1" x14ac:dyDescent="0.3">
      <c r="B11" s="15" t="str">
        <f t="shared" si="0"/>
        <v>Likely</v>
      </c>
      <c r="C11" s="16">
        <f t="shared" si="0"/>
        <v>4</v>
      </c>
      <c r="D11" s="85">
        <v>7</v>
      </c>
      <c r="E11" s="85">
        <v>9</v>
      </c>
      <c r="F11" s="79">
        <v>16</v>
      </c>
      <c r="G11" s="82">
        <v>21</v>
      </c>
      <c r="H11" s="78">
        <v>24</v>
      </c>
      <c r="I11" s="42"/>
      <c r="M11" s="42"/>
      <c r="T11" s="42"/>
    </row>
    <row r="12" spans="2:20" ht="24.9" customHeight="1" x14ac:dyDescent="0.3">
      <c r="B12" s="15" t="str">
        <f t="shared" si="0"/>
        <v>Possible</v>
      </c>
      <c r="C12" s="16">
        <f t="shared" si="0"/>
        <v>3</v>
      </c>
      <c r="D12" s="45">
        <v>4</v>
      </c>
      <c r="E12" s="45">
        <v>6</v>
      </c>
      <c r="F12" s="81">
        <v>12</v>
      </c>
      <c r="G12" s="80">
        <v>17</v>
      </c>
      <c r="H12" s="78">
        <v>23</v>
      </c>
      <c r="I12" s="42"/>
      <c r="M12" s="42"/>
      <c r="T12" s="42"/>
    </row>
    <row r="13" spans="2:20" ht="24.9" customHeight="1" x14ac:dyDescent="0.3">
      <c r="B13" s="15" t="str">
        <f t="shared" si="0"/>
        <v>Unlikely</v>
      </c>
      <c r="C13" s="16">
        <f t="shared" si="0"/>
        <v>2</v>
      </c>
      <c r="D13" s="87">
        <v>2</v>
      </c>
      <c r="E13" s="45">
        <v>5</v>
      </c>
      <c r="F13" s="81">
        <v>11</v>
      </c>
      <c r="G13" s="79">
        <v>15</v>
      </c>
      <c r="H13" s="47">
        <v>19</v>
      </c>
      <c r="I13" s="42"/>
      <c r="M13" s="43"/>
      <c r="N13" s="5"/>
      <c r="O13" s="5"/>
      <c r="T13" s="42"/>
    </row>
    <row r="14" spans="2:20" ht="24.9" customHeight="1" x14ac:dyDescent="0.3">
      <c r="B14" s="20" t="str">
        <f t="shared" si="0"/>
        <v>Very unlikely</v>
      </c>
      <c r="C14" s="21">
        <f t="shared" si="0"/>
        <v>1</v>
      </c>
      <c r="D14" s="87">
        <v>1</v>
      </c>
      <c r="E14" s="87">
        <v>3</v>
      </c>
      <c r="F14" s="86">
        <v>10</v>
      </c>
      <c r="G14" s="83">
        <v>13</v>
      </c>
      <c r="H14" s="84">
        <v>14</v>
      </c>
      <c r="I14" s="42"/>
      <c r="M14" s="43"/>
      <c r="N14" s="5"/>
      <c r="O14" s="5"/>
      <c r="T14" s="42"/>
    </row>
    <row r="15" spans="2:20" x14ac:dyDescent="0.3">
      <c r="I15" s="42"/>
      <c r="M15" s="43"/>
      <c r="N15" s="5"/>
      <c r="O15" s="5"/>
      <c r="T15" s="42"/>
    </row>
    <row r="16" spans="2:20" x14ac:dyDescent="0.3">
      <c r="I16" s="42"/>
      <c r="M16" s="43"/>
      <c r="N16" s="5"/>
      <c r="O16" s="5"/>
      <c r="T16" s="42"/>
    </row>
    <row r="17" spans="2:20" x14ac:dyDescent="0.3">
      <c r="B17" s="11" t="s">
        <v>41</v>
      </c>
      <c r="C17" s="12"/>
      <c r="D17" s="12"/>
      <c r="E17" s="12"/>
      <c r="F17" s="12"/>
      <c r="G17" s="12"/>
      <c r="H17" s="12"/>
      <c r="I17" s="42"/>
      <c r="M17" s="43"/>
      <c r="N17" s="5"/>
      <c r="O17" s="5"/>
      <c r="T17" s="42"/>
    </row>
    <row r="18" spans="2:20" ht="28.8" x14ac:dyDescent="0.3">
      <c r="B18" s="6" t="s">
        <v>13</v>
      </c>
      <c r="C18" s="7" t="s">
        <v>14</v>
      </c>
      <c r="D18" s="151" t="s">
        <v>15</v>
      </c>
      <c r="E18" s="152"/>
      <c r="F18" s="152"/>
      <c r="G18" s="152"/>
      <c r="H18" s="153"/>
      <c r="I18" s="42"/>
      <c r="M18" s="43"/>
      <c r="N18" s="5"/>
      <c r="O18" s="5"/>
      <c r="T18" s="42"/>
    </row>
    <row r="19" spans="2:20" ht="20.100000000000001" customHeight="1" x14ac:dyDescent="0.3">
      <c r="B19" s="8" t="s">
        <v>2</v>
      </c>
      <c r="C19" s="9">
        <v>5</v>
      </c>
      <c r="D19" s="154" t="s">
        <v>16</v>
      </c>
      <c r="E19" s="155"/>
      <c r="F19" s="155"/>
      <c r="G19" s="155"/>
      <c r="H19" s="156"/>
      <c r="I19" s="42"/>
      <c r="M19" s="43"/>
      <c r="N19" s="5"/>
      <c r="O19" s="5"/>
      <c r="T19" s="42"/>
    </row>
    <row r="20" spans="2:20" ht="20.100000000000001" customHeight="1" x14ac:dyDescent="0.3">
      <c r="B20" s="8" t="s">
        <v>3</v>
      </c>
      <c r="C20" s="9">
        <v>4</v>
      </c>
      <c r="D20" s="154" t="s">
        <v>17</v>
      </c>
      <c r="E20" s="155"/>
      <c r="F20" s="155"/>
      <c r="G20" s="155"/>
      <c r="H20" s="156"/>
      <c r="I20" s="42"/>
      <c r="M20" s="43"/>
      <c r="N20" s="5"/>
      <c r="O20" s="5"/>
      <c r="T20" s="42"/>
    </row>
    <row r="21" spans="2:20" ht="20.100000000000001" customHeight="1" x14ac:dyDescent="0.3">
      <c r="B21" s="8" t="s">
        <v>4</v>
      </c>
      <c r="C21" s="9">
        <v>3</v>
      </c>
      <c r="D21" s="154" t="s">
        <v>18</v>
      </c>
      <c r="E21" s="155"/>
      <c r="F21" s="155"/>
      <c r="G21" s="155"/>
      <c r="H21" s="156"/>
      <c r="I21" s="42"/>
      <c r="M21" s="43"/>
      <c r="N21" s="5"/>
      <c r="O21" s="5"/>
      <c r="T21" s="42"/>
    </row>
    <row r="22" spans="2:20" ht="20.100000000000001" customHeight="1" x14ac:dyDescent="0.3">
      <c r="B22" s="8" t="s">
        <v>5</v>
      </c>
      <c r="C22" s="9">
        <v>2</v>
      </c>
      <c r="D22" s="154" t="s">
        <v>19</v>
      </c>
      <c r="E22" s="155"/>
      <c r="F22" s="155"/>
      <c r="G22" s="155"/>
      <c r="H22" s="156"/>
      <c r="I22" s="42"/>
      <c r="M22" s="43"/>
      <c r="N22" s="5"/>
      <c r="O22" s="5"/>
      <c r="T22" s="42"/>
    </row>
    <row r="23" spans="2:20" ht="21" customHeight="1" x14ac:dyDescent="0.3">
      <c r="B23" s="8" t="s">
        <v>6</v>
      </c>
      <c r="C23" s="9">
        <v>1</v>
      </c>
      <c r="D23" s="154" t="s">
        <v>20</v>
      </c>
      <c r="E23" s="155"/>
      <c r="F23" s="155"/>
      <c r="G23" s="155"/>
      <c r="H23" s="156"/>
      <c r="I23" s="42"/>
      <c r="M23" s="43"/>
      <c r="N23" s="5"/>
      <c r="O23" s="5"/>
      <c r="T23" s="42"/>
    </row>
    <row r="24" spans="2:20" ht="21" customHeight="1" x14ac:dyDescent="0.3">
      <c r="B24" s="26"/>
      <c r="C24" s="27"/>
      <c r="D24" s="28"/>
      <c r="E24" s="28"/>
      <c r="F24" s="28"/>
      <c r="G24" s="28"/>
      <c r="H24" s="28"/>
      <c r="I24" s="42"/>
      <c r="M24" s="43"/>
      <c r="N24" s="5"/>
      <c r="O24" s="5"/>
      <c r="T24" s="42"/>
    </row>
    <row r="25" spans="2:20" ht="20.100000000000001" customHeight="1" x14ac:dyDescent="0.3">
      <c r="B25" s="11" t="s">
        <v>42</v>
      </c>
      <c r="C25" s="12"/>
      <c r="D25" s="12"/>
      <c r="E25" s="12"/>
      <c r="F25" s="12"/>
      <c r="G25" s="12"/>
      <c r="H25" s="12"/>
      <c r="I25" s="42"/>
      <c r="M25" s="43"/>
      <c r="N25" s="5"/>
      <c r="O25" s="5"/>
      <c r="T25" s="42"/>
    </row>
    <row r="26" spans="2:20" ht="20.100000000000001" customHeight="1" x14ac:dyDescent="0.3">
      <c r="B26" s="10" t="s">
        <v>7</v>
      </c>
      <c r="C26" s="10" t="str">
        <f>C18</f>
        <v>Scale</v>
      </c>
      <c r="D26" s="151" t="str">
        <f>D18</f>
        <v>Definition</v>
      </c>
      <c r="E26" s="152"/>
      <c r="F26" s="152"/>
      <c r="G26" s="152"/>
      <c r="H26" s="153"/>
      <c r="I26" s="42"/>
      <c r="M26" s="43"/>
      <c r="N26" s="5"/>
      <c r="O26" s="5"/>
      <c r="T26" s="42"/>
    </row>
    <row r="27" spans="2:20" ht="27.75" customHeight="1" x14ac:dyDescent="0.3">
      <c r="B27" s="8" t="s">
        <v>12</v>
      </c>
      <c r="C27" s="9">
        <v>5</v>
      </c>
      <c r="D27" s="154" t="s">
        <v>21</v>
      </c>
      <c r="E27" s="155"/>
      <c r="F27" s="155"/>
      <c r="G27" s="155"/>
      <c r="H27" s="156"/>
      <c r="I27" s="42"/>
      <c r="M27" s="43"/>
      <c r="N27" s="5"/>
      <c r="O27" s="5"/>
      <c r="T27" s="42"/>
    </row>
    <row r="28" spans="2:20" ht="33" customHeight="1" x14ac:dyDescent="0.3">
      <c r="B28" s="8" t="s">
        <v>11</v>
      </c>
      <c r="C28" s="9">
        <v>4</v>
      </c>
      <c r="D28" s="154" t="s">
        <v>22</v>
      </c>
      <c r="E28" s="155"/>
      <c r="F28" s="155"/>
      <c r="G28" s="155"/>
      <c r="H28" s="156"/>
      <c r="I28" s="42"/>
      <c r="M28" s="43"/>
      <c r="N28" s="5"/>
      <c r="O28" s="5"/>
      <c r="T28" s="42"/>
    </row>
    <row r="29" spans="2:20" ht="50.25" customHeight="1" x14ac:dyDescent="0.3">
      <c r="B29" s="8" t="s">
        <v>10</v>
      </c>
      <c r="C29" s="9">
        <v>3</v>
      </c>
      <c r="D29" s="154" t="s">
        <v>23</v>
      </c>
      <c r="E29" s="155"/>
      <c r="F29" s="155"/>
      <c r="G29" s="155"/>
      <c r="H29" s="156"/>
      <c r="I29" s="42"/>
      <c r="M29" s="43"/>
      <c r="N29" s="5"/>
      <c r="O29" s="5"/>
      <c r="T29" s="42"/>
    </row>
    <row r="30" spans="2:20" ht="36" customHeight="1" x14ac:dyDescent="0.3">
      <c r="B30" s="8" t="s">
        <v>9</v>
      </c>
      <c r="C30" s="9">
        <v>2</v>
      </c>
      <c r="D30" s="154" t="s">
        <v>24</v>
      </c>
      <c r="E30" s="155"/>
      <c r="F30" s="155"/>
      <c r="G30" s="155"/>
      <c r="H30" s="156"/>
      <c r="I30" s="42"/>
      <c r="M30" s="42"/>
      <c r="T30" s="42"/>
    </row>
    <row r="31" spans="2:20" ht="37.5" customHeight="1" x14ac:dyDescent="0.3">
      <c r="B31" s="8" t="s">
        <v>8</v>
      </c>
      <c r="C31" s="9">
        <v>1</v>
      </c>
      <c r="D31" s="154" t="s">
        <v>25</v>
      </c>
      <c r="E31" s="155"/>
      <c r="F31" s="155"/>
      <c r="G31" s="155"/>
      <c r="H31" s="156"/>
      <c r="I31" s="42"/>
      <c r="M31" s="42"/>
      <c r="T31" s="42"/>
    </row>
    <row r="32" spans="2:20" x14ac:dyDescent="0.3">
      <c r="I32" s="42"/>
      <c r="M32" s="42"/>
      <c r="T32" s="42"/>
    </row>
    <row r="33" spans="2:20" x14ac:dyDescent="0.3">
      <c r="B33" s="29" t="s">
        <v>43</v>
      </c>
      <c r="I33" s="42"/>
      <c r="M33" s="42"/>
      <c r="T33" s="42"/>
    </row>
    <row r="34" spans="2:20" x14ac:dyDescent="0.3">
      <c r="I34" s="42"/>
      <c r="M34" s="42"/>
      <c r="T34" s="42"/>
    </row>
    <row r="35" spans="2:20" x14ac:dyDescent="0.3">
      <c r="I35" s="42"/>
      <c r="M35" s="42"/>
      <c r="T35" s="42"/>
    </row>
    <row r="36" spans="2:20" x14ac:dyDescent="0.3">
      <c r="I36" s="42"/>
      <c r="M36" s="42"/>
      <c r="T36" s="42"/>
    </row>
    <row r="37" spans="2:20" x14ac:dyDescent="0.3">
      <c r="I37" s="42"/>
      <c r="M37" s="42"/>
      <c r="T37" s="42"/>
    </row>
    <row r="38" spans="2:20" x14ac:dyDescent="0.3">
      <c r="I38" s="42"/>
      <c r="M38" s="42"/>
      <c r="T38" s="42"/>
    </row>
    <row r="39" spans="2:20" x14ac:dyDescent="0.3">
      <c r="I39" s="42"/>
      <c r="M39" s="42"/>
      <c r="T39" s="42"/>
    </row>
    <row r="40" spans="2:20" x14ac:dyDescent="0.3">
      <c r="I40" s="42"/>
      <c r="M40" s="42"/>
      <c r="T40" s="42"/>
    </row>
    <row r="41" spans="2:20" x14ac:dyDescent="0.3">
      <c r="I41" s="42"/>
      <c r="M41" s="42"/>
      <c r="T41" s="42"/>
    </row>
    <row r="42" spans="2:20" x14ac:dyDescent="0.3">
      <c r="I42" s="42"/>
      <c r="M42" s="42"/>
      <c r="T42" s="42"/>
    </row>
    <row r="43" spans="2:20" x14ac:dyDescent="0.3">
      <c r="I43" s="42"/>
      <c r="M43" s="42"/>
      <c r="T43" s="42"/>
    </row>
    <row r="44" spans="2:20" x14ac:dyDescent="0.3">
      <c r="I44" s="42"/>
      <c r="M44" s="42"/>
      <c r="T44" s="42"/>
    </row>
    <row r="45" spans="2:20" x14ac:dyDescent="0.3">
      <c r="I45" s="42"/>
      <c r="M45" s="42"/>
      <c r="T45" s="42"/>
    </row>
    <row r="46" spans="2:20" x14ac:dyDescent="0.3">
      <c r="I46" s="42"/>
      <c r="M46" s="42"/>
      <c r="T46" s="42"/>
    </row>
    <row r="47" spans="2:20" x14ac:dyDescent="0.3">
      <c r="I47" s="42"/>
      <c r="M47" s="42"/>
      <c r="T47" s="42"/>
    </row>
    <row r="48" spans="2:20" x14ac:dyDescent="0.3">
      <c r="I48" s="42"/>
      <c r="M48" s="42"/>
      <c r="T48" s="42"/>
    </row>
    <row r="49" spans="9:20" x14ac:dyDescent="0.3">
      <c r="I49" s="42"/>
      <c r="M49" s="42"/>
      <c r="T49" s="42"/>
    </row>
    <row r="50" spans="9:20" x14ac:dyDescent="0.3">
      <c r="I50" s="42"/>
      <c r="M50" s="42"/>
      <c r="T50" s="42"/>
    </row>
    <row r="51" spans="9:20" x14ac:dyDescent="0.3">
      <c r="I51" s="42"/>
      <c r="M51" s="42"/>
      <c r="T51" s="42"/>
    </row>
  </sheetData>
  <mergeCells count="12">
    <mergeCell ref="D18:H18"/>
    <mergeCell ref="D28:H28"/>
    <mergeCell ref="D29:H29"/>
    <mergeCell ref="D30:H30"/>
    <mergeCell ref="D31:H31"/>
    <mergeCell ref="D19:H19"/>
    <mergeCell ref="D20:H20"/>
    <mergeCell ref="D21:H21"/>
    <mergeCell ref="D22:H22"/>
    <mergeCell ref="D23:H23"/>
    <mergeCell ref="D27:H27"/>
    <mergeCell ref="D26:H26"/>
  </mergeCells>
  <pageMargins left="0.70866141732283472" right="0.70866141732283472" top="0.74803149606299213" bottom="0.74803149606299213" header="0.31496062992125984" footer="0.31496062992125984"/>
  <pageSetup paperSize="9" scale="86" orientation="portrait" r:id="rId1"/>
  <headerFooter>
    <oddHeader>&amp;RWWW.POMPLUS.VN&amp;LEXAMPLE PROJECT (Water Treatment Plant Construction)</oddHeader>
    <oddFooter>&amp;RCreated by Nam Lethanh (namlt@protonmail.com)&amp;CAll right reserved @2017 POMPLUS Consulting Ltd.</oddFooter>
  </headerFooter>
  <colBreaks count="1" manualBreakCount="1">
    <brk id="9" max="1048575" man="1"/>
  </colBreaks>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3:E32"/>
  <sheetViews>
    <sheetView workbookViewId="0">
      <selection activeCell="E21" sqref="E21"/>
    </sheetView>
  </sheetViews>
  <sheetFormatPr defaultRowHeight="14.4" x14ac:dyDescent="0.3"/>
  <cols>
    <col min="3" max="3" width="32.5546875" customWidth="1"/>
    <col min="5" max="5" width="25.44140625" customWidth="1"/>
  </cols>
  <sheetData>
    <row r="3" spans="2:5" ht="15.6" x14ac:dyDescent="0.3">
      <c r="B3" s="32" t="s">
        <v>59</v>
      </c>
      <c r="C3" s="33" t="s">
        <v>44</v>
      </c>
      <c r="D3" s="34" t="s">
        <v>45</v>
      </c>
      <c r="E3" s="34" t="s">
        <v>46</v>
      </c>
    </row>
    <row r="4" spans="2:5" ht="15.6" x14ac:dyDescent="0.3">
      <c r="B4" s="31">
        <v>1</v>
      </c>
      <c r="C4" s="30" t="s">
        <v>47</v>
      </c>
      <c r="D4" s="31" t="s">
        <v>48</v>
      </c>
      <c r="E4" s="31"/>
    </row>
    <row r="5" spans="2:5" ht="15.6" x14ac:dyDescent="0.3">
      <c r="B5" s="31">
        <v>2</v>
      </c>
      <c r="C5" s="30" t="s">
        <v>49</v>
      </c>
      <c r="D5" s="31" t="s">
        <v>48</v>
      </c>
      <c r="E5" s="31"/>
    </row>
    <row r="6" spans="2:5" ht="15.6" x14ac:dyDescent="0.3">
      <c r="B6" s="31">
        <v>3</v>
      </c>
      <c r="C6" s="30" t="s">
        <v>50</v>
      </c>
      <c r="D6" s="31" t="s">
        <v>48</v>
      </c>
      <c r="E6" s="31"/>
    </row>
    <row r="7" spans="2:5" ht="15.6" x14ac:dyDescent="0.3">
      <c r="B7" s="31">
        <v>4</v>
      </c>
      <c r="C7" s="30" t="s">
        <v>51</v>
      </c>
      <c r="D7" s="31" t="s">
        <v>52</v>
      </c>
      <c r="E7" s="31"/>
    </row>
    <row r="8" spans="2:5" ht="15.6" x14ac:dyDescent="0.3">
      <c r="B8" s="31">
        <v>5</v>
      </c>
      <c r="C8" s="30" t="s">
        <v>53</v>
      </c>
      <c r="D8" s="31" t="s">
        <v>52</v>
      </c>
      <c r="E8" s="31"/>
    </row>
    <row r="9" spans="2:5" ht="15.6" x14ac:dyDescent="0.3">
      <c r="B9" s="31">
        <v>6</v>
      </c>
      <c r="C9" s="30" t="s">
        <v>54</v>
      </c>
      <c r="D9" s="31" t="s">
        <v>34</v>
      </c>
      <c r="E9" s="31"/>
    </row>
    <row r="10" spans="2:5" ht="15.6" x14ac:dyDescent="0.3">
      <c r="B10" s="31">
        <v>7</v>
      </c>
      <c r="C10" s="30" t="s">
        <v>55</v>
      </c>
      <c r="D10" s="31" t="s">
        <v>34</v>
      </c>
      <c r="E10" s="31"/>
    </row>
    <row r="11" spans="2:5" ht="15.6" x14ac:dyDescent="0.3">
      <c r="B11" s="31">
        <v>8</v>
      </c>
      <c r="C11" s="30" t="s">
        <v>56</v>
      </c>
      <c r="D11" s="31" t="s">
        <v>57</v>
      </c>
      <c r="E11" s="31"/>
    </row>
    <row r="12" spans="2:5" ht="15.6" x14ac:dyDescent="0.3">
      <c r="B12" s="31">
        <v>9</v>
      </c>
      <c r="C12" s="30" t="s">
        <v>58</v>
      </c>
      <c r="D12" s="31" t="s">
        <v>57</v>
      </c>
      <c r="E12" s="31"/>
    </row>
    <row r="16" spans="2:5" x14ac:dyDescent="0.3">
      <c r="C16" s="4" t="s">
        <v>27</v>
      </c>
    </row>
    <row r="17" spans="3:3" x14ac:dyDescent="0.3">
      <c r="C17" s="2" t="s">
        <v>48</v>
      </c>
    </row>
    <row r="18" spans="3:3" x14ac:dyDescent="0.3">
      <c r="C18" s="2" t="s">
        <v>52</v>
      </c>
    </row>
    <row r="19" spans="3:3" x14ac:dyDescent="0.3">
      <c r="C19" s="2" t="s">
        <v>34</v>
      </c>
    </row>
    <row r="20" spans="3:3" x14ac:dyDescent="0.3">
      <c r="C20" s="2" t="s">
        <v>57</v>
      </c>
    </row>
    <row r="22" spans="3:3" x14ac:dyDescent="0.3">
      <c r="C22" s="1" t="s">
        <v>50</v>
      </c>
    </row>
    <row r="23" spans="3:3" x14ac:dyDescent="0.3">
      <c r="C23" s="3" t="s">
        <v>60</v>
      </c>
    </row>
    <row r="24" spans="3:3" x14ac:dyDescent="0.3">
      <c r="C24" s="3" t="s">
        <v>61</v>
      </c>
    </row>
    <row r="25" spans="3:3" x14ac:dyDescent="0.3">
      <c r="C25" s="3" t="s">
        <v>62</v>
      </c>
    </row>
    <row r="26" spans="3:3" x14ac:dyDescent="0.3">
      <c r="C26" s="3" t="s">
        <v>63</v>
      </c>
    </row>
    <row r="29" spans="3:3" x14ac:dyDescent="0.3">
      <c r="C29" s="1" t="s">
        <v>40</v>
      </c>
    </row>
    <row r="30" spans="3:3" x14ac:dyDescent="0.3">
      <c r="C30" s="3" t="s">
        <v>65</v>
      </c>
    </row>
    <row r="31" spans="3:3" x14ac:dyDescent="0.3">
      <c r="C31" s="3" t="s">
        <v>66</v>
      </c>
    </row>
    <row r="32" spans="3:3" x14ac:dyDescent="0.3">
      <c r="C32" s="3" t="s">
        <v>67</v>
      </c>
    </row>
  </sheetData>
  <pageMargins left="0.70866141732283472" right="0.70866141732283472" top="0.74803149606299213" bottom="0.74803149606299213" header="0.31496062992125984" footer="0.31496062992125984"/>
  <pageSetup paperSize="9" orientation="portrait" horizontalDpi="90" verticalDpi="90" r:id="rId1"/>
  <headerFooter>
    <oddHeader>&amp;L&amp;G</oddHeader>
    <oddFooter>&amp;RAlright reserved @2017 POMPLUS Consulting Ltd. (Developed by Nam Lethanh  namlt@protonmail.com)</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Riskprofile</vt:lpstr>
      <vt:lpstr>Riskregister</vt:lpstr>
      <vt:lpstr>Definition</vt:lpstr>
      <vt:lpstr>DataFields</vt:lpstr>
      <vt:lpstr>Definition!Print_Area</vt:lpstr>
    </vt:vector>
  </TitlesOfParts>
  <Company>GHD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Nam Lethanh</dc:creator>
  <cp:lastModifiedBy>Nam Lethanh</cp:lastModifiedBy>
  <cp:lastPrinted>2017-09-26T02:41:59Z</cp:lastPrinted>
  <dcterms:created xsi:type="dcterms:W3CDTF">2017-01-20T00:58:13Z</dcterms:created>
  <dcterms:modified xsi:type="dcterms:W3CDTF">2017-09-26T02:48:34Z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12233880-153e-4d79-a307-4834fee86489</vt:lpwstr>
  </property>
</Properties>
</file>